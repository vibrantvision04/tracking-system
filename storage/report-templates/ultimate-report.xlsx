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swmj\Desktop\"/>
    </mc:Choice>
  </mc:AlternateContent>
  <xr:revisionPtr revIDLastSave="0" documentId="13_ncr:1_{6459CF66-2CB3-4AC7-A2D1-A5E8DA25F631}" xr6:coauthVersionLast="47" xr6:coauthVersionMax="47" xr10:uidLastSave="{00000000-0000-0000-0000-000000000000}"/>
  <bookViews>
    <workbookView xWindow="-120" yWindow="-120" windowWidth="29040" windowHeight="15720" activeTab="7" xr2:uid="{06885CCC-3A61-4BF4-924B-A9E9CAD4D5AF}"/>
  </bookViews>
  <sheets>
    <sheet name="DISTANCE" sheetId="1" r:id="rId1"/>
    <sheet name="COV" sheetId="2" r:id="rId2"/>
    <sheet name="ANZ" sheetId="3" r:id="rId3"/>
    <sheet name="KPZ" sheetId="4" r:id="rId4"/>
    <sheet name="CLZ" sheetId="5" r:id="rId5"/>
    <sheet name="HMZ" sheetId="6" r:id="rId6"/>
    <sheet name="SW" sheetId="7" r:id="rId7"/>
    <sheet name="SUM" sheetId="8" r:id="rId8"/>
    <sheet name="DEPARTED" sheetId="9" r:id="rId9"/>
    <sheet name="Sheet1" sheetId="10" r:id="rId10"/>
    <sheet name="EAR" sheetId="11" r:id="rId11"/>
  </sheets>
  <calcPr calcId="191029"/>
</workbook>
</file>

<file path=xl/calcChain.xml><?xml version="1.0" encoding="utf-8"?>
<calcChain xmlns="http://schemas.openxmlformats.org/spreadsheetml/2006/main">
  <c r="E37" i="7" l="1"/>
  <c r="F26" i="6"/>
  <c r="F27" i="6"/>
  <c r="F7" i="6"/>
  <c r="I7" i="6" s="1"/>
  <c r="F8" i="6"/>
  <c r="I8" i="6" s="1"/>
  <c r="F9" i="6"/>
  <c r="I9" i="6" s="1"/>
  <c r="F10" i="6"/>
  <c r="I10" i="6" s="1"/>
  <c r="F11" i="6"/>
  <c r="I11" i="6" s="1"/>
  <c r="F12" i="6"/>
  <c r="I12" i="6" s="1"/>
  <c r="F13" i="6"/>
  <c r="I13" i="6" s="1"/>
  <c r="F14" i="6"/>
  <c r="I14" i="6" s="1"/>
  <c r="F26" i="5"/>
  <c r="I26" i="5" s="1"/>
  <c r="F8" i="3"/>
  <c r="I8" i="3" s="1"/>
  <c r="F9" i="3"/>
  <c r="I9" i="3" s="1"/>
  <c r="F10" i="3"/>
  <c r="I10" i="3" s="1"/>
  <c r="F11" i="3"/>
  <c r="I11" i="3" s="1"/>
  <c r="I26" i="6" l="1"/>
  <c r="F63" i="6"/>
  <c r="I63" i="6" s="1"/>
  <c r="F49" i="5"/>
  <c r="I49" i="5" s="1"/>
  <c r="F19" i="5"/>
  <c r="I19" i="5" s="1"/>
  <c r="F20" i="5"/>
  <c r="I20" i="5" s="1"/>
  <c r="F27" i="5"/>
  <c r="I27" i="5" s="1"/>
  <c r="F19" i="4"/>
  <c r="I19" i="4" s="1"/>
  <c r="F64" i="5"/>
  <c r="I64" i="5" s="1"/>
  <c r="F49" i="3"/>
  <c r="I49" i="3" s="1"/>
  <c r="F50" i="3"/>
  <c r="I50" i="3" s="1"/>
  <c r="F17" i="3"/>
  <c r="I17" i="3" s="1"/>
  <c r="F18" i="3"/>
  <c r="I18" i="3" s="1"/>
  <c r="F19" i="3"/>
  <c r="I19" i="3" s="1"/>
  <c r="F20" i="3"/>
  <c r="I20" i="3" s="1"/>
  <c r="F21" i="3"/>
  <c r="I21" i="3" s="1"/>
  <c r="F22" i="3"/>
  <c r="I22" i="3" s="1"/>
  <c r="F23" i="3"/>
  <c r="I23" i="3" s="1"/>
  <c r="F24" i="3"/>
  <c r="I24" i="3" s="1"/>
  <c r="F25" i="3"/>
  <c r="I25" i="3" s="1"/>
  <c r="F26" i="3"/>
  <c r="I26" i="3" s="1"/>
  <c r="F79" i="6"/>
  <c r="I79" i="6" s="1"/>
  <c r="F57" i="6"/>
  <c r="I57" i="6" s="1"/>
  <c r="F39" i="6"/>
  <c r="I39" i="6" s="1"/>
  <c r="F65" i="5"/>
  <c r="I65" i="5" s="1"/>
  <c r="F44" i="5"/>
  <c r="I44" i="5" s="1"/>
  <c r="F45" i="5"/>
  <c r="I45" i="5" s="1"/>
  <c r="F46" i="5"/>
  <c r="I46" i="5" s="1"/>
  <c r="F47" i="5"/>
  <c r="I47" i="5" s="1"/>
  <c r="F6" i="5"/>
  <c r="I6" i="5" s="1"/>
  <c r="F11" i="4"/>
  <c r="I11" i="4" s="1"/>
  <c r="F60" i="3"/>
  <c r="I60" i="3" s="1"/>
  <c r="F61" i="3"/>
  <c r="I61" i="3" s="1"/>
  <c r="F62" i="3"/>
  <c r="I62" i="3" s="1"/>
  <c r="F63" i="3"/>
  <c r="I63" i="3" s="1"/>
  <c r="F64" i="3"/>
  <c r="I64" i="3" s="1"/>
  <c r="F65" i="3"/>
  <c r="I65" i="3" s="1"/>
  <c r="F66" i="3"/>
  <c r="I66" i="3" s="1"/>
  <c r="F67" i="3"/>
  <c r="I67" i="3" s="1"/>
  <c r="F68" i="3"/>
  <c r="I68" i="3" s="1"/>
  <c r="F26" i="4" l="1"/>
  <c r="I26" i="4" s="1"/>
  <c r="F27" i="4"/>
  <c r="I27" i="4" s="1"/>
  <c r="F6" i="3"/>
  <c r="I6" i="3" s="1"/>
  <c r="F7" i="3"/>
  <c r="I7" i="3" s="1"/>
  <c r="F51" i="3"/>
  <c r="I51" i="3" s="1"/>
  <c r="F52" i="3"/>
  <c r="I52" i="3" s="1"/>
  <c r="F53" i="3"/>
  <c r="I53" i="3" s="1"/>
  <c r="F54" i="3"/>
  <c r="I54" i="3" s="1"/>
  <c r="F56" i="3"/>
  <c r="I56" i="3" s="1"/>
  <c r="F57" i="3"/>
  <c r="I57" i="3" s="1"/>
  <c r="F58" i="3"/>
  <c r="I58" i="3" s="1"/>
  <c r="F80" i="6"/>
  <c r="I80" i="6" s="1"/>
  <c r="F32" i="5"/>
  <c r="I32" i="5" s="1"/>
  <c r="F33" i="5"/>
  <c r="I33" i="5" s="1"/>
  <c r="F81" i="6"/>
  <c r="I81" i="6" s="1"/>
  <c r="F6" i="6"/>
  <c r="I6" i="6" s="1"/>
  <c r="F9" i="5"/>
  <c r="I9" i="5" s="1"/>
  <c r="F45" i="3"/>
  <c r="I45" i="3" s="1"/>
  <c r="F46" i="3"/>
  <c r="I46" i="3" s="1"/>
  <c r="G27" i="8"/>
  <c r="F7" i="5"/>
  <c r="I7" i="5" s="1"/>
  <c r="F8" i="5"/>
  <c r="I8" i="5" s="1"/>
  <c r="F10" i="5"/>
  <c r="I10" i="5" s="1"/>
  <c r="F11" i="5"/>
  <c r="I11" i="5" s="1"/>
  <c r="F12" i="5"/>
  <c r="I12" i="5" s="1"/>
  <c r="F13" i="5"/>
  <c r="I13" i="5" s="1"/>
  <c r="F14" i="5"/>
  <c r="I14" i="5" s="1"/>
  <c r="F15" i="5"/>
  <c r="I15" i="5" s="1"/>
  <c r="F16" i="5"/>
  <c r="I16" i="5" s="1"/>
  <c r="F17" i="5"/>
  <c r="I17" i="5" s="1"/>
  <c r="F18" i="5"/>
  <c r="I18" i="5" s="1"/>
  <c r="F21" i="5"/>
  <c r="I21" i="5" s="1"/>
  <c r="F22" i="5"/>
  <c r="I22" i="5" s="1"/>
  <c r="F23" i="5"/>
  <c r="I23" i="5" s="1"/>
  <c r="F24" i="5"/>
  <c r="I24" i="5" s="1"/>
  <c r="F25" i="5"/>
  <c r="I25" i="5" s="1"/>
  <c r="F28" i="5"/>
  <c r="I28" i="5" s="1"/>
  <c r="F29" i="5"/>
  <c r="I29" i="5" s="1"/>
  <c r="F30" i="5"/>
  <c r="I30" i="5" s="1"/>
  <c r="F31" i="5"/>
  <c r="I31" i="5" s="1"/>
  <c r="F34" i="5"/>
  <c r="I34" i="5" s="1"/>
  <c r="F35" i="5"/>
  <c r="I35" i="5" s="1"/>
  <c r="F36" i="5"/>
  <c r="I36" i="5" s="1"/>
  <c r="F37" i="5"/>
  <c r="I37" i="5" s="1"/>
  <c r="F38" i="5"/>
  <c r="I38" i="5" s="1"/>
  <c r="F39" i="5"/>
  <c r="I39" i="5" s="1"/>
  <c r="F40" i="5"/>
  <c r="I40" i="5" s="1"/>
  <c r="F41" i="5"/>
  <c r="I41" i="5" s="1"/>
  <c r="F42" i="5"/>
  <c r="I42" i="5" s="1"/>
  <c r="F43" i="5"/>
  <c r="I43" i="5" s="1"/>
  <c r="F50" i="5"/>
  <c r="I50" i="5" s="1"/>
  <c r="F51" i="5"/>
  <c r="I51" i="5" s="1"/>
  <c r="F52" i="5"/>
  <c r="I52" i="5" s="1"/>
  <c r="F53" i="5"/>
  <c r="I53" i="5" s="1"/>
  <c r="F54" i="5"/>
  <c r="I54" i="5" s="1"/>
  <c r="F55" i="5"/>
  <c r="I55" i="5" s="1"/>
  <c r="F56" i="5"/>
  <c r="I56" i="5" s="1"/>
  <c r="F57" i="5"/>
  <c r="I57" i="5" s="1"/>
  <c r="F58" i="5"/>
  <c r="I58" i="5" s="1"/>
  <c r="F59" i="5"/>
  <c r="I59" i="5" s="1"/>
  <c r="F60" i="5"/>
  <c r="I60" i="5" s="1"/>
  <c r="F61" i="5"/>
  <c r="I61" i="5" s="1"/>
  <c r="F62" i="5"/>
  <c r="I62" i="5" s="1"/>
  <c r="F63" i="5"/>
  <c r="I63" i="5" s="1"/>
  <c r="F66" i="5"/>
  <c r="I66" i="5" s="1"/>
  <c r="F46" i="4"/>
  <c r="I46" i="4" s="1"/>
  <c r="F20" i="4"/>
  <c r="I20" i="4" s="1"/>
  <c r="F21" i="4"/>
  <c r="I21" i="4" s="1"/>
  <c r="F22" i="4"/>
  <c r="I22" i="4" s="1"/>
  <c r="F23" i="4"/>
  <c r="I23" i="4" s="1"/>
  <c r="F24" i="4"/>
  <c r="I24" i="4" s="1"/>
  <c r="F25" i="4"/>
  <c r="I25" i="4" s="1"/>
  <c r="F31" i="3"/>
  <c r="I31" i="3" s="1"/>
  <c r="F42" i="3"/>
  <c r="I42" i="3" s="1"/>
  <c r="F67" i="6"/>
  <c r="I67" i="6" s="1"/>
  <c r="F28" i="4"/>
  <c r="I28" i="4" s="1"/>
  <c r="F27" i="3"/>
  <c r="I27" i="3" s="1"/>
  <c r="F28" i="3"/>
  <c r="I28" i="3" s="1"/>
  <c r="F29" i="3"/>
  <c r="I29" i="3" s="1"/>
  <c r="F55" i="6"/>
  <c r="I55" i="6" s="1"/>
  <c r="C3" i="6"/>
  <c r="F25" i="6"/>
  <c r="I25" i="6" s="1"/>
  <c r="E80" i="6" l="1"/>
  <c r="E74" i="6"/>
  <c r="G74" i="6" s="1"/>
  <c r="E67" i="6"/>
  <c r="F60" i="6"/>
  <c r="I60" i="6" s="1"/>
  <c r="E55" i="6"/>
  <c r="G55" i="6" s="1"/>
  <c r="E49" i="6"/>
  <c r="H49" i="6" s="1"/>
  <c r="E43" i="6"/>
  <c r="G43" i="6" s="1"/>
  <c r="E37" i="6"/>
  <c r="H37" i="6" s="1"/>
  <c r="E31" i="6"/>
  <c r="G31" i="6" s="1"/>
  <c r="E25" i="6"/>
  <c r="H25" i="6" s="1"/>
  <c r="E19" i="6"/>
  <c r="G19" i="6" s="1"/>
  <c r="F37" i="6"/>
  <c r="I37" i="6" s="1"/>
  <c r="F73" i="6"/>
  <c r="I73" i="6" s="1"/>
  <c r="F66" i="6"/>
  <c r="I66" i="6" s="1"/>
  <c r="E60" i="6"/>
  <c r="G60" i="6" s="1"/>
  <c r="F48" i="6"/>
  <c r="I48" i="6" s="1"/>
  <c r="F42" i="6"/>
  <c r="I42" i="6" s="1"/>
  <c r="F36" i="6"/>
  <c r="I36" i="6" s="1"/>
  <c r="F30" i="6"/>
  <c r="I30" i="6" s="1"/>
  <c r="F24" i="6"/>
  <c r="I24" i="6" s="1"/>
  <c r="F18" i="6"/>
  <c r="I18" i="6" s="1"/>
  <c r="E12" i="6"/>
  <c r="E6" i="6"/>
  <c r="F13" i="3"/>
  <c r="I13" i="3" s="1"/>
  <c r="F43" i="6"/>
  <c r="I43" i="6" s="1"/>
  <c r="F5" i="3"/>
  <c r="I5" i="3" s="1"/>
  <c r="E79" i="6"/>
  <c r="F59" i="6"/>
  <c r="I59" i="6" s="1"/>
  <c r="E36" i="6"/>
  <c r="G36" i="6" s="1"/>
  <c r="E24" i="6"/>
  <c r="G24" i="6" s="1"/>
  <c r="E7" i="6"/>
  <c r="E73" i="6"/>
  <c r="G73" i="6" s="1"/>
  <c r="E48" i="6"/>
  <c r="G48" i="6" s="1"/>
  <c r="E30" i="6"/>
  <c r="G30" i="6" s="1"/>
  <c r="E85" i="6"/>
  <c r="F72" i="6"/>
  <c r="I72" i="6" s="1"/>
  <c r="F65" i="6"/>
  <c r="I65" i="6" s="1"/>
  <c r="E59" i="6"/>
  <c r="G59" i="6" s="1"/>
  <c r="F53" i="6"/>
  <c r="I53" i="6" s="1"/>
  <c r="F47" i="6"/>
  <c r="I47" i="6" s="1"/>
  <c r="F41" i="6"/>
  <c r="I41" i="6" s="1"/>
  <c r="F35" i="6"/>
  <c r="I35" i="6" s="1"/>
  <c r="F29" i="6"/>
  <c r="I29" i="6" s="1"/>
  <c r="F23" i="6"/>
  <c r="I23" i="6" s="1"/>
  <c r="F17" i="6"/>
  <c r="I17" i="6" s="1"/>
  <c r="E11" i="6"/>
  <c r="E5" i="6"/>
  <c r="F31" i="6"/>
  <c r="I31" i="6" s="1"/>
  <c r="F85" i="6"/>
  <c r="I85" i="6" s="1"/>
  <c r="E66" i="6"/>
  <c r="G66" i="6" s="1"/>
  <c r="E54" i="6"/>
  <c r="E42" i="6"/>
  <c r="G42" i="6" s="1"/>
  <c r="E18" i="6"/>
  <c r="G18" i="6" s="1"/>
  <c r="E84" i="6"/>
  <c r="E78" i="6"/>
  <c r="E72" i="6"/>
  <c r="G72" i="6" s="1"/>
  <c r="E65" i="6"/>
  <c r="G65" i="6" s="1"/>
  <c r="E53" i="6"/>
  <c r="G53" i="6" s="1"/>
  <c r="E47" i="6"/>
  <c r="G47" i="6" s="1"/>
  <c r="E41" i="6"/>
  <c r="G41" i="6" s="1"/>
  <c r="E35" i="6"/>
  <c r="G35" i="6" s="1"/>
  <c r="E29" i="6"/>
  <c r="G29" i="6" s="1"/>
  <c r="E23" i="6"/>
  <c r="G23" i="6" s="1"/>
  <c r="E17" i="6"/>
  <c r="H17" i="6" s="1"/>
  <c r="E61" i="6"/>
  <c r="H61" i="6" s="1"/>
  <c r="F19" i="6"/>
  <c r="I19" i="6" s="1"/>
  <c r="F58" i="6"/>
  <c r="I58" i="6" s="1"/>
  <c r="F28" i="6"/>
  <c r="I28" i="6" s="1"/>
  <c r="E10" i="6"/>
  <c r="E83" i="6"/>
  <c r="G83" i="6" s="1"/>
  <c r="E77" i="6"/>
  <c r="H77" i="6" s="1"/>
  <c r="E71" i="6"/>
  <c r="G71" i="6" s="1"/>
  <c r="E64" i="6"/>
  <c r="G64" i="6" s="1"/>
  <c r="E58" i="6"/>
  <c r="E52" i="6"/>
  <c r="G52" i="6" s="1"/>
  <c r="E46" i="6"/>
  <c r="G46" i="6" s="1"/>
  <c r="E40" i="6"/>
  <c r="G40" i="6" s="1"/>
  <c r="E34" i="6"/>
  <c r="G34" i="6" s="1"/>
  <c r="E28" i="6"/>
  <c r="H28" i="6" s="1"/>
  <c r="E22" i="6"/>
  <c r="G22" i="6" s="1"/>
  <c r="E16" i="6"/>
  <c r="G16" i="6" s="1"/>
  <c r="F74" i="6"/>
  <c r="I74" i="6" s="1"/>
  <c r="F49" i="6"/>
  <c r="I49" i="6" s="1"/>
  <c r="F77" i="6"/>
  <c r="I77" i="6" s="1"/>
  <c r="F40" i="6"/>
  <c r="I40" i="6" s="1"/>
  <c r="F82" i="6"/>
  <c r="I82" i="6" s="1"/>
  <c r="F76" i="6"/>
  <c r="I76" i="6" s="1"/>
  <c r="F70" i="6"/>
  <c r="I70" i="6" s="1"/>
  <c r="E63" i="6"/>
  <c r="F51" i="6"/>
  <c r="I51" i="6" s="1"/>
  <c r="F45" i="6"/>
  <c r="I45" i="6" s="1"/>
  <c r="F33" i="6"/>
  <c r="I33" i="6" s="1"/>
  <c r="I27" i="6"/>
  <c r="F21" i="6"/>
  <c r="I21" i="6" s="1"/>
  <c r="E9" i="6"/>
  <c r="F71" i="6"/>
  <c r="I71" i="6" s="1"/>
  <c r="F46" i="6"/>
  <c r="I46" i="6" s="1"/>
  <c r="F16" i="6"/>
  <c r="I16" i="6" s="1"/>
  <c r="F67" i="5"/>
  <c r="I67" i="5" s="1"/>
  <c r="E82" i="6"/>
  <c r="G82" i="6" s="1"/>
  <c r="E76" i="6"/>
  <c r="G76" i="6" s="1"/>
  <c r="E70" i="6"/>
  <c r="G70" i="6" s="1"/>
  <c r="F62" i="6"/>
  <c r="I62" i="6" s="1"/>
  <c r="E57" i="6"/>
  <c r="E51" i="6"/>
  <c r="G51" i="6" s="1"/>
  <c r="E45" i="6"/>
  <c r="H45" i="6" s="1"/>
  <c r="E39" i="6"/>
  <c r="E33" i="6"/>
  <c r="G33" i="6" s="1"/>
  <c r="E27" i="6"/>
  <c r="G27" i="6" s="1"/>
  <c r="E21" i="6"/>
  <c r="H21" i="6" s="1"/>
  <c r="E15" i="6"/>
  <c r="E68" i="6"/>
  <c r="E13" i="6"/>
  <c r="F83" i="6"/>
  <c r="I83" i="6" s="1"/>
  <c r="F52" i="6"/>
  <c r="I52" i="6" s="1"/>
  <c r="F22" i="6"/>
  <c r="I22" i="6" s="1"/>
  <c r="F75" i="6"/>
  <c r="I75" i="6" s="1"/>
  <c r="F69" i="6"/>
  <c r="I69" i="6" s="1"/>
  <c r="E62" i="6"/>
  <c r="G62" i="6" s="1"/>
  <c r="F56" i="6"/>
  <c r="I56" i="6" s="1"/>
  <c r="F50" i="6"/>
  <c r="I50" i="6" s="1"/>
  <c r="F44" i="6"/>
  <c r="I44" i="6" s="1"/>
  <c r="F38" i="6"/>
  <c r="I38" i="6" s="1"/>
  <c r="F32" i="6"/>
  <c r="I32" i="6" s="1"/>
  <c r="F20" i="6"/>
  <c r="I20" i="6" s="1"/>
  <c r="E14" i="6"/>
  <c r="E8" i="6"/>
  <c r="F64" i="6"/>
  <c r="I64" i="6" s="1"/>
  <c r="F34" i="6"/>
  <c r="I34" i="6" s="1"/>
  <c r="E81" i="6"/>
  <c r="E75" i="6"/>
  <c r="G75" i="6" s="1"/>
  <c r="E69" i="6"/>
  <c r="H69" i="6" s="1"/>
  <c r="F61" i="6"/>
  <c r="I61" i="6" s="1"/>
  <c r="E56" i="6"/>
  <c r="H56" i="6" s="1"/>
  <c r="E50" i="6"/>
  <c r="G50" i="6" s="1"/>
  <c r="E44" i="6"/>
  <c r="G44" i="6" s="1"/>
  <c r="E38" i="6"/>
  <c r="G38" i="6" s="1"/>
  <c r="E32" i="6"/>
  <c r="G32" i="6" s="1"/>
  <c r="E26" i="6"/>
  <c r="E20" i="6"/>
  <c r="G20" i="6" s="1"/>
  <c r="H74" i="6"/>
  <c r="H29" i="6"/>
  <c r="H55" i="6"/>
  <c r="H43" i="6"/>
  <c r="F12" i="3"/>
  <c r="I12" i="3" s="1"/>
  <c r="F5" i="5"/>
  <c r="I5" i="5" s="1"/>
  <c r="F29" i="4"/>
  <c r="I29" i="4" s="1"/>
  <c r="F15" i="3"/>
  <c r="I15" i="3" s="1"/>
  <c r="F14" i="3"/>
  <c r="I14" i="3" s="1"/>
  <c r="F32" i="4"/>
  <c r="I32" i="4" s="1"/>
  <c r="F7" i="4"/>
  <c r="I7" i="4" s="1"/>
  <c r="F6" i="4"/>
  <c r="I6" i="4" s="1"/>
  <c r="F39" i="3"/>
  <c r="I39" i="3" s="1"/>
  <c r="E30" i="7"/>
  <c r="I30" i="7" s="1"/>
  <c r="K30" i="7" s="1"/>
  <c r="F38" i="3"/>
  <c r="I38" i="3" s="1"/>
  <c r="E83" i="7"/>
  <c r="F31" i="4"/>
  <c r="I31" i="4" s="1"/>
  <c r="F17" i="4"/>
  <c r="I17" i="4" s="1"/>
  <c r="E121" i="7"/>
  <c r="F37" i="3"/>
  <c r="I37" i="3" s="1"/>
  <c r="F30" i="4"/>
  <c r="I30" i="4" s="1"/>
  <c r="F16" i="4"/>
  <c r="I16" i="4" s="1"/>
  <c r="F36" i="3"/>
  <c r="I36" i="3" s="1"/>
  <c r="F41" i="4"/>
  <c r="I41" i="4" s="1"/>
  <c r="F15" i="4"/>
  <c r="I15" i="4" s="1"/>
  <c r="F45" i="4"/>
  <c r="I45" i="4" s="1"/>
  <c r="F48" i="3"/>
  <c r="I48" i="3" s="1"/>
  <c r="F35" i="3"/>
  <c r="I35" i="3" s="1"/>
  <c r="F40" i="4"/>
  <c r="I40" i="4" s="1"/>
  <c r="F14" i="4"/>
  <c r="I14" i="4" s="1"/>
  <c r="F44" i="4"/>
  <c r="I44" i="4" s="1"/>
  <c r="F43" i="4"/>
  <c r="I43" i="4" s="1"/>
  <c r="F47" i="3"/>
  <c r="I47" i="3" s="1"/>
  <c r="F34" i="3"/>
  <c r="I34" i="3" s="1"/>
  <c r="F39" i="4"/>
  <c r="I39" i="4" s="1"/>
  <c r="F13" i="4"/>
  <c r="I13" i="4" s="1"/>
  <c r="F38" i="4"/>
  <c r="I38" i="4" s="1"/>
  <c r="F12" i="4"/>
  <c r="I12" i="4" s="1"/>
  <c r="F42" i="4"/>
  <c r="I42" i="4" s="1"/>
  <c r="F33" i="3"/>
  <c r="I33" i="3" s="1"/>
  <c r="E43" i="5"/>
  <c r="F44" i="3"/>
  <c r="I44" i="3" s="1"/>
  <c r="F32" i="3"/>
  <c r="I32" i="3" s="1"/>
  <c r="F37" i="4"/>
  <c r="I37" i="4" s="1"/>
  <c r="F36" i="4"/>
  <c r="I36" i="4" s="1"/>
  <c r="F69" i="3"/>
  <c r="I69" i="3" s="1"/>
  <c r="F30" i="3"/>
  <c r="I30" i="3" s="1"/>
  <c r="F35" i="4"/>
  <c r="I35" i="4" s="1"/>
  <c r="F9" i="4"/>
  <c r="I9" i="4" s="1"/>
  <c r="E22" i="7"/>
  <c r="F41" i="3"/>
  <c r="I41" i="3" s="1"/>
  <c r="F34" i="4"/>
  <c r="I34" i="4" s="1"/>
  <c r="F8" i="4"/>
  <c r="I8" i="4" s="1"/>
  <c r="F43" i="3"/>
  <c r="I43" i="3" s="1"/>
  <c r="F10" i="4"/>
  <c r="I10" i="4" s="1"/>
  <c r="F40" i="3"/>
  <c r="I40" i="3" s="1"/>
  <c r="F33" i="4"/>
  <c r="I33" i="4" s="1"/>
  <c r="F68" i="5"/>
  <c r="I68" i="5" s="1"/>
  <c r="F69" i="5"/>
  <c r="I69" i="5" s="1"/>
  <c r="F70" i="5"/>
  <c r="I70" i="5" s="1"/>
  <c r="F71" i="5"/>
  <c r="I71" i="5" s="1"/>
  <c r="F72" i="5"/>
  <c r="I72" i="5" s="1"/>
  <c r="F73" i="5"/>
  <c r="I73" i="5" s="1"/>
  <c r="F74" i="5"/>
  <c r="I74" i="5" s="1"/>
  <c r="H9" i="6" l="1"/>
  <c r="G9" i="6"/>
  <c r="G11" i="6"/>
  <c r="H11" i="6"/>
  <c r="G12" i="6"/>
  <c r="H12" i="6"/>
  <c r="G10" i="6"/>
  <c r="H10" i="6"/>
  <c r="G8" i="6"/>
  <c r="H8" i="6"/>
  <c r="G7" i="6"/>
  <c r="H7" i="6"/>
  <c r="G14" i="6"/>
  <c r="H14" i="6"/>
  <c r="G13" i="6"/>
  <c r="H13" i="6"/>
  <c r="H64" i="6"/>
  <c r="G26" i="6"/>
  <c r="H26" i="6"/>
  <c r="H63" i="6"/>
  <c r="G63" i="6"/>
  <c r="J83" i="7"/>
  <c r="F83" i="7"/>
  <c r="G83" i="7"/>
  <c r="H83" i="7"/>
  <c r="I83" i="7"/>
  <c r="K83" i="7" s="1"/>
  <c r="F22" i="7"/>
  <c r="G22" i="7"/>
  <c r="H22" i="7"/>
  <c r="I22" i="7"/>
  <c r="K22" i="7" s="1"/>
  <c r="J22" i="7"/>
  <c r="F121" i="7"/>
  <c r="G121" i="7"/>
  <c r="H121" i="7"/>
  <c r="I121" i="7"/>
  <c r="K121" i="7" s="1"/>
  <c r="J121" i="7"/>
  <c r="H36" i="6"/>
  <c r="G57" i="6"/>
  <c r="H57" i="6"/>
  <c r="G39" i="6"/>
  <c r="H39" i="6"/>
  <c r="G79" i="6"/>
  <c r="H79" i="6"/>
  <c r="H59" i="6"/>
  <c r="H31" i="6"/>
  <c r="H35" i="6"/>
  <c r="G80" i="6"/>
  <c r="H80" i="6"/>
  <c r="H48" i="6"/>
  <c r="H16" i="6"/>
  <c r="G81" i="6"/>
  <c r="H81" i="6"/>
  <c r="G6" i="6"/>
  <c r="H6" i="6"/>
  <c r="H18" i="6"/>
  <c r="G17" i="6"/>
  <c r="H19" i="6"/>
  <c r="H73" i="6"/>
  <c r="H41" i="6"/>
  <c r="H47" i="6"/>
  <c r="H71" i="6"/>
  <c r="H42" i="6"/>
  <c r="H83" i="6"/>
  <c r="H24" i="6"/>
  <c r="H66" i="6"/>
  <c r="H23" i="6"/>
  <c r="H76" i="6"/>
  <c r="H62" i="6"/>
  <c r="G43" i="5"/>
  <c r="H43" i="5"/>
  <c r="H82" i="6"/>
  <c r="G77" i="6"/>
  <c r="H22" i="6"/>
  <c r="G67" i="6"/>
  <c r="H67" i="6"/>
  <c r="G49" i="6"/>
  <c r="G21" i="6"/>
  <c r="H72" i="6"/>
  <c r="H40" i="6"/>
  <c r="H20" i="6"/>
  <c r="H75" i="6"/>
  <c r="H27" i="6"/>
  <c r="H53" i="6"/>
  <c r="G28" i="6"/>
  <c r="G45" i="6"/>
  <c r="H70" i="6"/>
  <c r="G61" i="6"/>
  <c r="H52" i="6"/>
  <c r="H33" i="6"/>
  <c r="H30" i="6"/>
  <c r="H50" i="6"/>
  <c r="G37" i="6"/>
  <c r="H46" i="6"/>
  <c r="H60" i="6"/>
  <c r="H38" i="6"/>
  <c r="G56" i="6"/>
  <c r="G25" i="6"/>
  <c r="H51" i="6"/>
  <c r="H44" i="6"/>
  <c r="H85" i="6"/>
  <c r="G85" i="6"/>
  <c r="H32" i="6"/>
  <c r="G58" i="6"/>
  <c r="H58" i="6"/>
  <c r="F86" i="6"/>
  <c r="H34" i="6"/>
  <c r="G69" i="6"/>
  <c r="H65" i="6"/>
  <c r="F30" i="7"/>
  <c r="G30" i="7"/>
  <c r="H30" i="7"/>
  <c r="J30" i="7"/>
  <c r="E42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3" i="4"/>
  <c r="E44" i="4"/>
  <c r="E45" i="4"/>
  <c r="E46" i="4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1" i="9"/>
  <c r="F75" i="5"/>
  <c r="I75" i="5" s="1"/>
  <c r="G19" i="4" l="1"/>
  <c r="H19" i="4"/>
  <c r="G11" i="4"/>
  <c r="H11" i="4"/>
  <c r="G26" i="4"/>
  <c r="H26" i="4"/>
  <c r="G27" i="4"/>
  <c r="H27" i="4"/>
  <c r="G25" i="4"/>
  <c r="H25" i="4"/>
  <c r="G24" i="4"/>
  <c r="H24" i="4"/>
  <c r="G23" i="4"/>
  <c r="H23" i="4"/>
  <c r="H22" i="4"/>
  <c r="G22" i="4"/>
  <c r="H46" i="4"/>
  <c r="G46" i="4"/>
  <c r="G21" i="4"/>
  <c r="H21" i="4"/>
  <c r="G20" i="4"/>
  <c r="H20" i="4"/>
  <c r="G28" i="4"/>
  <c r="H28" i="4"/>
  <c r="H86" i="6"/>
  <c r="G86" i="6"/>
  <c r="G29" i="4"/>
  <c r="H29" i="4"/>
  <c r="G33" i="4"/>
  <c r="H33" i="4"/>
  <c r="G32" i="4"/>
  <c r="H32" i="4"/>
  <c r="G30" i="4"/>
  <c r="H30" i="4"/>
  <c r="G41" i="4"/>
  <c r="H41" i="4"/>
  <c r="G17" i="4"/>
  <c r="H17" i="4"/>
  <c r="G31" i="4"/>
  <c r="H31" i="4"/>
  <c r="G40" i="4"/>
  <c r="H40" i="4"/>
  <c r="G16" i="4"/>
  <c r="H16" i="4"/>
  <c r="G39" i="4"/>
  <c r="H39" i="4"/>
  <c r="G15" i="4"/>
  <c r="H15" i="4"/>
  <c r="G38" i="4"/>
  <c r="H38" i="4"/>
  <c r="G14" i="4"/>
  <c r="H14" i="4"/>
  <c r="G37" i="4"/>
  <c r="H37" i="4"/>
  <c r="G13" i="4"/>
  <c r="H13" i="4"/>
  <c r="G36" i="4"/>
  <c r="H36" i="4"/>
  <c r="G12" i="4"/>
  <c r="H12" i="4"/>
  <c r="G35" i="4"/>
  <c r="H35" i="4"/>
  <c r="G34" i="4"/>
  <c r="H34" i="4"/>
  <c r="G43" i="4"/>
  <c r="H43" i="4"/>
  <c r="G42" i="4"/>
  <c r="H42" i="4"/>
  <c r="G45" i="4"/>
  <c r="H45" i="4"/>
  <c r="G44" i="4"/>
  <c r="H44" i="4"/>
  <c r="A1" i="11"/>
  <c r="F2" i="9"/>
  <c r="F4" i="9"/>
  <c r="I5" i="9"/>
  <c r="F8" i="9"/>
  <c r="F9" i="9"/>
  <c r="H11" i="9"/>
  <c r="F13" i="9"/>
  <c r="F16" i="9"/>
  <c r="G23" i="9"/>
  <c r="G25" i="9"/>
  <c r="I26" i="9"/>
  <c r="F28" i="9"/>
  <c r="H37" i="9"/>
  <c r="F40" i="9"/>
  <c r="F47" i="9"/>
  <c r="H48" i="9"/>
  <c r="G49" i="9"/>
  <c r="I50" i="9"/>
  <c r="F52" i="9"/>
  <c r="G55" i="9"/>
  <c r="I58" i="9"/>
  <c r="G60" i="9"/>
  <c r="F62" i="9"/>
  <c r="H63" i="9"/>
  <c r="H67" i="9"/>
  <c r="F68" i="9"/>
  <c r="F74" i="9"/>
  <c r="H75" i="9"/>
  <c r="F76" i="9"/>
  <c r="G77" i="9"/>
  <c r="G79" i="9"/>
  <c r="I80" i="9"/>
  <c r="I82" i="9"/>
  <c r="G83" i="9"/>
  <c r="G85" i="9"/>
  <c r="I89" i="9"/>
  <c r="G91" i="9"/>
  <c r="F94" i="9"/>
  <c r="F95" i="9"/>
  <c r="G97" i="9"/>
  <c r="F100" i="9"/>
  <c r="F101" i="9"/>
  <c r="G103" i="9"/>
  <c r="I104" i="9"/>
  <c r="F106" i="9"/>
  <c r="G107" i="9"/>
  <c r="G109" i="9"/>
  <c r="G115" i="9"/>
  <c r="G116" i="9"/>
  <c r="G118" i="9"/>
  <c r="G119" i="9"/>
  <c r="G121" i="9"/>
  <c r="F122" i="9"/>
  <c r="F124" i="9"/>
  <c r="F125" i="9"/>
  <c r="G127" i="9"/>
  <c r="G128" i="9"/>
  <c r="G130" i="9"/>
  <c r="G132" i="9"/>
  <c r="G133" i="9"/>
  <c r="F137" i="9"/>
  <c r="G139" i="9"/>
  <c r="F140" i="9"/>
  <c r="G142" i="9"/>
  <c r="G143" i="9"/>
  <c r="F145" i="9"/>
  <c r="H146" i="9"/>
  <c r="F148" i="9"/>
  <c r="F150" i="9"/>
  <c r="G151" i="9"/>
  <c r="G152" i="9"/>
  <c r="H158" i="9"/>
  <c r="H162" i="9"/>
  <c r="I164" i="9"/>
  <c r="G166" i="9"/>
  <c r="H170" i="9"/>
  <c r="H171" i="9"/>
  <c r="I176" i="9"/>
  <c r="H177" i="9"/>
  <c r="F179" i="9"/>
  <c r="H194" i="9"/>
  <c r="F199" i="9"/>
  <c r="F203" i="9"/>
  <c r="I204" i="9"/>
  <c r="F208" i="9"/>
  <c r="F209" i="9"/>
  <c r="F212" i="9"/>
  <c r="G217" i="9"/>
  <c r="F232" i="9"/>
  <c r="G234" i="9"/>
  <c r="I235" i="9"/>
  <c r="I240" i="9"/>
  <c r="F243" i="9"/>
  <c r="F244" i="9"/>
  <c r="H246" i="9"/>
  <c r="G247" i="9"/>
  <c r="I252" i="9"/>
  <c r="F257" i="9"/>
  <c r="C4" i="7"/>
  <c r="C55" i="7"/>
  <c r="C95" i="7"/>
  <c r="C3" i="5"/>
  <c r="C3" i="4"/>
  <c r="B21" i="8"/>
  <c r="B4" i="8"/>
  <c r="E27" i="8"/>
  <c r="D27" i="8"/>
  <c r="H18" i="8"/>
  <c r="D18" i="8"/>
  <c r="H10" i="8"/>
  <c r="D10" i="8"/>
  <c r="H68" i="9" l="1"/>
  <c r="H249" i="9"/>
  <c r="G235" i="9"/>
  <c r="F216" i="9"/>
  <c r="F136" i="9"/>
  <c r="F112" i="9"/>
  <c r="F1" i="9"/>
  <c r="F157" i="9"/>
  <c r="H156" i="9"/>
  <c r="F77" i="9"/>
  <c r="I67" i="9"/>
  <c r="I22" i="9"/>
  <c r="I109" i="9"/>
  <c r="H56" i="9"/>
  <c r="H10" i="9"/>
  <c r="G67" i="9"/>
  <c r="G20" i="9"/>
  <c r="G43" i="9"/>
  <c r="G31" i="9"/>
  <c r="I253" i="9"/>
  <c r="I231" i="9"/>
  <c r="I200" i="9"/>
  <c r="I239" i="9"/>
  <c r="H209" i="9"/>
  <c r="H84" i="9"/>
  <c r="I65" i="9"/>
  <c r="G19" i="9"/>
  <c r="H192" i="9"/>
  <c r="H252" i="9"/>
  <c r="G202" i="9"/>
  <c r="G232" i="9"/>
  <c r="F185" i="9"/>
  <c r="G174" i="9"/>
  <c r="G73" i="9"/>
  <c r="F64" i="9"/>
  <c r="F41" i="9"/>
  <c r="F29" i="9"/>
  <c r="G106" i="9"/>
  <c r="F83" i="9"/>
  <c r="G72" i="9"/>
  <c r="G210" i="9"/>
  <c r="G172" i="9"/>
  <c r="I70" i="9"/>
  <c r="G61" i="9"/>
  <c r="G181" i="9"/>
  <c r="F221" i="9"/>
  <c r="G220" i="9"/>
  <c r="I259" i="9"/>
  <c r="F229" i="9"/>
  <c r="I217" i="9"/>
  <c r="G227" i="9"/>
  <c r="G208" i="9"/>
  <c r="G196" i="9"/>
  <c r="H184" i="9"/>
  <c r="F236" i="9"/>
  <c r="F207" i="9"/>
  <c r="H206" i="9"/>
  <c r="F254" i="9"/>
  <c r="F205" i="9"/>
  <c r="I181" i="9"/>
  <c r="G209" i="9"/>
  <c r="F109" i="9"/>
  <c r="F80" i="9"/>
  <c r="F253" i="9"/>
  <c r="F202" i="9"/>
  <c r="F97" i="9"/>
  <c r="I62" i="9"/>
  <c r="I188" i="9"/>
  <c r="G95" i="9"/>
  <c r="I85" i="9"/>
  <c r="G68" i="9"/>
  <c r="H188" i="9"/>
  <c r="H259" i="9"/>
  <c r="F188" i="9"/>
  <c r="F143" i="9"/>
  <c r="I133" i="9"/>
  <c r="I74" i="9"/>
  <c r="H204" i="9"/>
  <c r="F204" i="9"/>
  <c r="I91" i="9"/>
  <c r="I25" i="9"/>
  <c r="I206" i="9"/>
  <c r="G185" i="9"/>
  <c r="H176" i="9"/>
  <c r="I140" i="9"/>
  <c r="I55" i="9"/>
  <c r="I34" i="9"/>
  <c r="F25" i="9"/>
  <c r="F176" i="9"/>
  <c r="H132" i="9"/>
  <c r="F235" i="9"/>
  <c r="F217" i="9"/>
  <c r="G205" i="9"/>
  <c r="H189" i="9"/>
  <c r="I139" i="9"/>
  <c r="F121" i="9"/>
  <c r="H102" i="9"/>
  <c r="I61" i="9"/>
  <c r="G41" i="9"/>
  <c r="H232" i="9"/>
  <c r="I208" i="9"/>
  <c r="F196" i="9"/>
  <c r="G188" i="9"/>
  <c r="H127" i="9"/>
  <c r="H91" i="9"/>
  <c r="I221" i="9"/>
  <c r="G170" i="9"/>
  <c r="I151" i="9"/>
  <c r="I97" i="9"/>
  <c r="H251" i="9"/>
  <c r="F211" i="9"/>
  <c r="G211" i="9"/>
  <c r="H201" i="9"/>
  <c r="G201" i="9"/>
  <c r="F193" i="9"/>
  <c r="G178" i="9"/>
  <c r="G257" i="9"/>
  <c r="F250" i="9"/>
  <c r="G243" i="9"/>
  <c r="F169" i="9"/>
  <c r="I169" i="9"/>
  <c r="G169" i="9"/>
  <c r="G256" i="9"/>
  <c r="I242" i="9"/>
  <c r="G242" i="9"/>
  <c r="H242" i="9"/>
  <c r="H227" i="9"/>
  <c r="I227" i="9"/>
  <c r="H191" i="9"/>
  <c r="F191" i="9"/>
  <c r="H149" i="9"/>
  <c r="F149" i="9"/>
  <c r="G149" i="9"/>
  <c r="F241" i="9"/>
  <c r="F226" i="9"/>
  <c r="I226" i="9"/>
  <c r="G190" i="9"/>
  <c r="H190" i="9"/>
  <c r="I190" i="9"/>
  <c r="F190" i="9"/>
  <c r="H254" i="9"/>
  <c r="H248" i="9"/>
  <c r="I234" i="9"/>
  <c r="F225" i="9"/>
  <c r="G199" i="9"/>
  <c r="F240" i="9"/>
  <c r="H240" i="9"/>
  <c r="G240" i="9"/>
  <c r="G184" i="9"/>
  <c r="I184" i="9"/>
  <c r="G175" i="9"/>
  <c r="H175" i="9"/>
  <c r="G254" i="9"/>
  <c r="I254" i="9"/>
  <c r="F247" i="9"/>
  <c r="F223" i="9"/>
  <c r="G223" i="9"/>
  <c r="H223" i="9"/>
  <c r="G216" i="9"/>
  <c r="I216" i="9"/>
  <c r="I222" i="9"/>
  <c r="G222" i="9"/>
  <c r="H222" i="9"/>
  <c r="F222" i="9"/>
  <c r="F182" i="9"/>
  <c r="G182" i="9"/>
  <c r="H182" i="9"/>
  <c r="G154" i="9"/>
  <c r="G238" i="9"/>
  <c r="F214" i="9"/>
  <c r="G163" i="9"/>
  <c r="I163" i="9"/>
  <c r="F245" i="9"/>
  <c r="F237" i="9"/>
  <c r="F213" i="9"/>
  <c r="I258" i="9"/>
  <c r="F230" i="9"/>
  <c r="G221" i="9"/>
  <c r="H221" i="9"/>
  <c r="G180" i="9"/>
  <c r="H180" i="9"/>
  <c r="H257" i="9"/>
  <c r="G252" i="9"/>
  <c r="G244" i="9"/>
  <c r="I236" i="9"/>
  <c r="G236" i="9"/>
  <c r="H236" i="9"/>
  <c r="I194" i="9"/>
  <c r="F194" i="9"/>
  <c r="G194" i="9"/>
  <c r="G187" i="9"/>
  <c r="I246" i="9"/>
  <c r="G206" i="9"/>
  <c r="F195" i="9"/>
  <c r="H161" i="9"/>
  <c r="F147" i="9"/>
  <c r="H113" i="9"/>
  <c r="F98" i="9"/>
  <c r="I92" i="9"/>
  <c r="H86" i="9"/>
  <c r="F69" i="9"/>
  <c r="H59" i="9"/>
  <c r="I152" i="9"/>
  <c r="H140" i="9"/>
  <c r="H119" i="9"/>
  <c r="H80" i="9"/>
  <c r="G75" i="9"/>
  <c r="G63" i="9"/>
  <c r="H50" i="9"/>
  <c r="H26" i="9"/>
  <c r="F20" i="9"/>
  <c r="H185" i="9"/>
  <c r="I179" i="9"/>
  <c r="G168" i="9"/>
  <c r="F159" i="9"/>
  <c r="F146" i="9"/>
  <c r="G126" i="9"/>
  <c r="G111" i="9"/>
  <c r="F104" i="9"/>
  <c r="I79" i="9"/>
  <c r="F57" i="9"/>
  <c r="H41" i="9"/>
  <c r="F33" i="9"/>
  <c r="H239" i="9"/>
  <c r="I233" i="9"/>
  <c r="H215" i="9"/>
  <c r="I209" i="9"/>
  <c r="F200" i="9"/>
  <c r="I174" i="9"/>
  <c r="F167" i="9"/>
  <c r="H151" i="9"/>
  <c r="H139" i="9"/>
  <c r="F110" i="9"/>
  <c r="I103" i="9"/>
  <c r="F91" i="9"/>
  <c r="H79" i="9"/>
  <c r="G74" i="9"/>
  <c r="G62" i="9"/>
  <c r="I56" i="9"/>
  <c r="I32" i="9"/>
  <c r="H25" i="9"/>
  <c r="F7" i="9"/>
  <c r="I7" i="9"/>
  <c r="H179" i="9"/>
  <c r="H173" i="9"/>
  <c r="F158" i="9"/>
  <c r="H144" i="9"/>
  <c r="F139" i="9"/>
  <c r="F132" i="9"/>
  <c r="H125" i="9"/>
  <c r="H116" i="9"/>
  <c r="F96" i="9"/>
  <c r="F84" i="9"/>
  <c r="F79" i="9"/>
  <c r="I68" i="9"/>
  <c r="F48" i="9"/>
  <c r="G39" i="9"/>
  <c r="I31" i="9"/>
  <c r="I17" i="9"/>
  <c r="H131" i="9"/>
  <c r="G90" i="9"/>
  <c r="H74" i="9"/>
  <c r="H62" i="9"/>
  <c r="F56" i="9"/>
  <c r="H38" i="9"/>
  <c r="G204" i="9"/>
  <c r="I198" i="9"/>
  <c r="F183" i="9"/>
  <c r="I150" i="9"/>
  <c r="G138" i="9"/>
  <c r="H123" i="9"/>
  <c r="I116" i="9"/>
  <c r="G78" i="9"/>
  <c r="F73" i="9"/>
  <c r="H47" i="9"/>
  <c r="I37" i="9"/>
  <c r="F24" i="9"/>
  <c r="G15" i="9"/>
  <c r="F255" i="9"/>
  <c r="G224" i="9"/>
  <c r="F249" i="9"/>
  <c r="F219" i="9"/>
  <c r="H212" i="9"/>
  <c r="F197" i="9"/>
  <c r="F192" i="9"/>
  <c r="G177" i="9"/>
  <c r="F171" i="9"/>
  <c r="F164" i="9"/>
  <c r="G156" i="9"/>
  <c r="H143" i="9"/>
  <c r="I115" i="9"/>
  <c r="F108" i="9"/>
  <c r="G101" i="9"/>
  <c r="H95" i="9"/>
  <c r="H89" i="9"/>
  <c r="H83" i="9"/>
  <c r="I77" i="9"/>
  <c r="H61" i="9"/>
  <c r="G37" i="9"/>
  <c r="I29" i="9"/>
  <c r="H14" i="9"/>
  <c r="G3" i="9"/>
  <c r="F231" i="9"/>
  <c r="F218" i="9"/>
  <c r="G207" i="9"/>
  <c r="H203" i="9"/>
  <c r="H196" i="9"/>
  <c r="F155" i="9"/>
  <c r="H137" i="9"/>
  <c r="H128" i="9"/>
  <c r="G122" i="9"/>
  <c r="H115" i="9"/>
  <c r="F88" i="9"/>
  <c r="F45" i="9"/>
  <c r="F37" i="9"/>
  <c r="H23" i="9"/>
  <c r="I13" i="9"/>
  <c r="H141" i="9"/>
  <c r="H107" i="9"/>
  <c r="H101" i="9"/>
  <c r="F72" i="9"/>
  <c r="H53" i="9"/>
  <c r="F44" i="9"/>
  <c r="H29" i="9"/>
  <c r="I128" i="9"/>
  <c r="H114" i="9"/>
  <c r="H92" i="9"/>
  <c r="G87" i="9"/>
  <c r="H77" i="9"/>
  <c r="H71" i="9"/>
  <c r="H65" i="9"/>
  <c r="F60" i="9"/>
  <c r="F36" i="9"/>
  <c r="F21" i="9"/>
  <c r="F12" i="9"/>
  <c r="I186" i="9"/>
  <c r="I170" i="9"/>
  <c r="H153" i="9"/>
  <c r="G135" i="9"/>
  <c r="F259" i="9"/>
  <c r="I228" i="9"/>
  <c r="I210" i="9"/>
  <c r="F206" i="9"/>
  <c r="G195" i="9"/>
  <c r="I185" i="9"/>
  <c r="G176" i="9"/>
  <c r="I162" i="9"/>
  <c r="H152" i="9"/>
  <c r="I147" i="9"/>
  <c r="G140" i="9"/>
  <c r="F134" i="9"/>
  <c r="I127" i="9"/>
  <c r="F120" i="9"/>
  <c r="F113" i="9"/>
  <c r="H99" i="9"/>
  <c r="G92" i="9"/>
  <c r="I86" i="9"/>
  <c r="G80" i="9"/>
  <c r="F59" i="9"/>
  <c r="G51" i="9"/>
  <c r="H35" i="9"/>
  <c r="G27" i="9"/>
  <c r="I20" i="9"/>
  <c r="H104" i="9"/>
  <c r="I49" i="9"/>
  <c r="I44" i="9"/>
  <c r="H32" i="9"/>
  <c r="I14" i="9"/>
  <c r="G11" i="9"/>
  <c r="H164" i="9"/>
  <c r="I161" i="9"/>
  <c r="I157" i="9"/>
  <c r="H258" i="9"/>
  <c r="H245" i="9"/>
  <c r="F242" i="9"/>
  <c r="F239" i="9"/>
  <c r="H230" i="9"/>
  <c r="G226" i="9"/>
  <c r="H218" i="9"/>
  <c r="I203" i="9"/>
  <c r="F187" i="9"/>
  <c r="F184" i="9"/>
  <c r="H181" i="9"/>
  <c r="I173" i="9"/>
  <c r="F170" i="9"/>
  <c r="G164" i="9"/>
  <c r="G161" i="9"/>
  <c r="H157" i="9"/>
  <c r="F152" i="9"/>
  <c r="G144" i="9"/>
  <c r="F128" i="9"/>
  <c r="H120" i="9"/>
  <c r="F116" i="9"/>
  <c r="H108" i="9"/>
  <c r="G104" i="9"/>
  <c r="H96" i="9"/>
  <c r="F92" i="9"/>
  <c r="G84" i="9"/>
  <c r="G71" i="9"/>
  <c r="F67" i="9"/>
  <c r="I53" i="9"/>
  <c r="H49" i="9"/>
  <c r="H44" i="9"/>
  <c r="G32" i="9"/>
  <c r="H24" i="9"/>
  <c r="I19" i="9"/>
  <c r="G14" i="9"/>
  <c r="F11" i="9"/>
  <c r="G5" i="9"/>
  <c r="F181" i="9"/>
  <c r="G173" i="9"/>
  <c r="F161" i="9"/>
  <c r="G157" i="9"/>
  <c r="I148" i="9"/>
  <c r="H135" i="9"/>
  <c r="G131" i="9"/>
  <c r="G120" i="9"/>
  <c r="G108" i="9"/>
  <c r="G96" i="9"/>
  <c r="H87" i="9"/>
  <c r="F71" i="9"/>
  <c r="G53" i="9"/>
  <c r="F49" i="9"/>
  <c r="G44" i="9"/>
  <c r="H36" i="9"/>
  <c r="F32" i="9"/>
  <c r="H27" i="9"/>
  <c r="G24" i="9"/>
  <c r="H19" i="9"/>
  <c r="F14" i="9"/>
  <c r="F5" i="9"/>
  <c r="I245" i="9"/>
  <c r="I230" i="9"/>
  <c r="I218" i="9"/>
  <c r="H187" i="9"/>
  <c r="G258" i="9"/>
  <c r="G245" i="9"/>
  <c r="G230" i="9"/>
  <c r="G218" i="9"/>
  <c r="F258" i="9"/>
  <c r="I241" i="9"/>
  <c r="F238" i="9"/>
  <c r="G225" i="9"/>
  <c r="H213" i="9"/>
  <c r="I197" i="9"/>
  <c r="H186" i="9"/>
  <c r="I183" i="9"/>
  <c r="F173" i="9"/>
  <c r="F131" i="9"/>
  <c r="G123" i="9"/>
  <c r="F53" i="9"/>
  <c r="H39" i="9"/>
  <c r="G36" i="9"/>
  <c r="F19" i="9"/>
  <c r="I10" i="9"/>
  <c r="I187" i="9"/>
  <c r="H253" i="9"/>
  <c r="G248" i="9"/>
  <c r="H241" i="9"/>
  <c r="G186" i="9"/>
  <c r="H183" i="9"/>
  <c r="I134" i="9"/>
  <c r="I205" i="9"/>
  <c r="H197" i="9"/>
  <c r="I110" i="9"/>
  <c r="I98" i="9"/>
  <c r="I257" i="9"/>
  <c r="G253" i="9"/>
  <c r="F248" i="9"/>
  <c r="I244" i="9"/>
  <c r="G241" i="9"/>
  <c r="I232" i="9"/>
  <c r="G229" i="9"/>
  <c r="I224" i="9"/>
  <c r="H217" i="9"/>
  <c r="G212" i="9"/>
  <c r="H205" i="9"/>
  <c r="G197" i="9"/>
  <c r="F186" i="9"/>
  <c r="G183" i="9"/>
  <c r="H172" i="9"/>
  <c r="H163" i="9"/>
  <c r="H159" i="9"/>
  <c r="F151" i="9"/>
  <c r="H147" i="9"/>
  <c r="H134" i="9"/>
  <c r="I130" i="9"/>
  <c r="F127" i="9"/>
  <c r="I122" i="9"/>
  <c r="F119" i="9"/>
  <c r="F115" i="9"/>
  <c r="H110" i="9"/>
  <c r="F107" i="9"/>
  <c r="H103" i="9"/>
  <c r="H98" i="9"/>
  <c r="G86" i="9"/>
  <c r="G65" i="9"/>
  <c r="F61" i="9"/>
  <c r="G56" i="9"/>
  <c r="G48" i="9"/>
  <c r="I43" i="9"/>
  <c r="I38" i="9"/>
  <c r="G35" i="9"/>
  <c r="H31" i="9"/>
  <c r="G26" i="9"/>
  <c r="F23" i="9"/>
  <c r="H13" i="9"/>
  <c r="H3" i="9"/>
  <c r="H224" i="9"/>
  <c r="F163" i="9"/>
  <c r="H142" i="9"/>
  <c r="H138" i="9"/>
  <c r="G134" i="9"/>
  <c r="H130" i="9"/>
  <c r="H122" i="9"/>
  <c r="G110" i="9"/>
  <c r="F103" i="9"/>
  <c r="G98" i="9"/>
  <c r="F86" i="9"/>
  <c r="I73" i="9"/>
  <c r="F65" i="9"/>
  <c r="H51" i="9"/>
  <c r="H43" i="9"/>
  <c r="G38" i="9"/>
  <c r="F35" i="9"/>
  <c r="F31" i="9"/>
  <c r="F26" i="9"/>
  <c r="G17" i="9"/>
  <c r="G13" i="9"/>
  <c r="I8" i="9"/>
  <c r="I182" i="9"/>
  <c r="G179" i="9"/>
  <c r="I171" i="9"/>
  <c r="G167" i="9"/>
  <c r="I158" i="9"/>
  <c r="H150" i="9"/>
  <c r="I146" i="9"/>
  <c r="F130" i="9"/>
  <c r="H126" i="9"/>
  <c r="H118" i="9"/>
  <c r="G114" i="9"/>
  <c r="I106" i="9"/>
  <c r="I94" i="9"/>
  <c r="H73" i="9"/>
  <c r="H60" i="9"/>
  <c r="G47" i="9"/>
  <c r="F43" i="9"/>
  <c r="F38" i="9"/>
  <c r="F17" i="9"/>
  <c r="G8" i="9"/>
  <c r="I2" i="9"/>
  <c r="F224" i="9"/>
  <c r="G89" i="9"/>
  <c r="H85" i="9"/>
  <c r="H55" i="9"/>
  <c r="G50" i="9"/>
  <c r="H12" i="9"/>
  <c r="G162" i="9"/>
  <c r="G158" i="9"/>
  <c r="G146" i="9"/>
  <c r="I137" i="9"/>
  <c r="I125" i="9"/>
  <c r="I113" i="9"/>
  <c r="G259" i="9"/>
  <c r="F252" i="9"/>
  <c r="G246" i="9"/>
  <c r="H235" i="9"/>
  <c r="G231" i="9"/>
  <c r="F227" i="9"/>
  <c r="I223" i="9"/>
  <c r="H216" i="9"/>
  <c r="H210" i="9"/>
  <c r="G200" i="9"/>
  <c r="H178" i="9"/>
  <c r="H174" i="9"/>
  <c r="F162" i="9"/>
  <c r="I149" i="9"/>
  <c r="G137" i="9"/>
  <c r="G125" i="9"/>
  <c r="H121" i="9"/>
  <c r="G113" i="9"/>
  <c r="H109" i="9"/>
  <c r="I101" i="9"/>
  <c r="H97" i="9"/>
  <c r="F89" i="9"/>
  <c r="F85" i="9"/>
  <c r="H72" i="9"/>
  <c r="G59" i="9"/>
  <c r="F55" i="9"/>
  <c r="F50" i="9"/>
  <c r="I41" i="9"/>
  <c r="G29" i="9"/>
  <c r="H20" i="9"/>
  <c r="H15" i="9"/>
  <c r="G12" i="9"/>
  <c r="H7" i="9"/>
  <c r="H46" i="9"/>
  <c r="F46" i="9"/>
  <c r="G46" i="9"/>
  <c r="H256" i="9"/>
  <c r="G251" i="9"/>
  <c r="I248" i="9"/>
  <c r="F246" i="9"/>
  <c r="H243" i="9"/>
  <c r="H238" i="9"/>
  <c r="G233" i="9"/>
  <c r="G228" i="9"/>
  <c r="I225" i="9"/>
  <c r="H220" i="9"/>
  <c r="G215" i="9"/>
  <c r="I212" i="9"/>
  <c r="F210" i="9"/>
  <c r="H207" i="9"/>
  <c r="H202" i="9"/>
  <c r="I199" i="9"/>
  <c r="I191" i="9"/>
  <c r="F177" i="9"/>
  <c r="I177" i="9"/>
  <c r="F174" i="9"/>
  <c r="G171" i="9"/>
  <c r="H168" i="9"/>
  <c r="F156" i="9"/>
  <c r="I156" i="9"/>
  <c r="I136" i="9"/>
  <c r="H133" i="9"/>
  <c r="G112" i="9"/>
  <c r="H112" i="9"/>
  <c r="I112" i="9"/>
  <c r="H90" i="9"/>
  <c r="F54" i="9"/>
  <c r="G54" i="9"/>
  <c r="H54" i="9"/>
  <c r="I54" i="9"/>
  <c r="I256" i="9"/>
  <c r="I251" i="9"/>
  <c r="I243" i="9"/>
  <c r="I238" i="9"/>
  <c r="H233" i="9"/>
  <c r="H228" i="9"/>
  <c r="I220" i="9"/>
  <c r="I215" i="9"/>
  <c r="I207" i="9"/>
  <c r="I202" i="9"/>
  <c r="F189" i="9"/>
  <c r="I189" i="9"/>
  <c r="F165" i="9"/>
  <c r="G165" i="9"/>
  <c r="I165" i="9"/>
  <c r="F105" i="9"/>
  <c r="G105" i="9"/>
  <c r="H105" i="9"/>
  <c r="I105" i="9"/>
  <c r="F102" i="9"/>
  <c r="I102" i="9"/>
  <c r="F256" i="9"/>
  <c r="F251" i="9"/>
  <c r="F233" i="9"/>
  <c r="F228" i="9"/>
  <c r="H225" i="9"/>
  <c r="F220" i="9"/>
  <c r="F215" i="9"/>
  <c r="H199" i="9"/>
  <c r="I196" i="9"/>
  <c r="G191" i="9"/>
  <c r="F180" i="9"/>
  <c r="I180" i="9"/>
  <c r="G155" i="9"/>
  <c r="F133" i="9"/>
  <c r="F129" i="9"/>
  <c r="G129" i="9"/>
  <c r="H129" i="9"/>
  <c r="I129" i="9"/>
  <c r="F126" i="9"/>
  <c r="I126" i="9"/>
  <c r="H111" i="9"/>
  <c r="H94" i="9"/>
  <c r="G94" i="9"/>
  <c r="H78" i="9"/>
  <c r="H58" i="9"/>
  <c r="F58" i="9"/>
  <c r="G58" i="9"/>
  <c r="F168" i="9"/>
  <c r="I168" i="9"/>
  <c r="I142" i="9"/>
  <c r="G136" i="9"/>
  <c r="H136" i="9"/>
  <c r="I118" i="9"/>
  <c r="F93" i="9"/>
  <c r="G93" i="9"/>
  <c r="H93" i="9"/>
  <c r="I93" i="9"/>
  <c r="F90" i="9"/>
  <c r="I90" i="9"/>
  <c r="H82" i="9"/>
  <c r="F82" i="9"/>
  <c r="G82" i="9"/>
  <c r="F66" i="9"/>
  <c r="G66" i="9"/>
  <c r="H66" i="9"/>
  <c r="I66" i="9"/>
  <c r="F6" i="9"/>
  <c r="G6" i="9"/>
  <c r="H6" i="9"/>
  <c r="I6" i="9"/>
  <c r="H70" i="9"/>
  <c r="F70" i="9"/>
  <c r="G70" i="9"/>
  <c r="I154" i="9"/>
  <c r="H145" i="9"/>
  <c r="F142" i="9"/>
  <c r="I121" i="9"/>
  <c r="F118" i="9"/>
  <c r="H166" i="9"/>
  <c r="G160" i="9"/>
  <c r="H160" i="9"/>
  <c r="I255" i="9"/>
  <c r="I250" i="9"/>
  <c r="I219" i="9"/>
  <c r="I214" i="9"/>
  <c r="I193" i="9"/>
  <c r="H155" i="9"/>
  <c r="I155" i="9"/>
  <c r="I145" i="9"/>
  <c r="I111" i="9"/>
  <c r="F111" i="9"/>
  <c r="F81" i="9"/>
  <c r="G81" i="9"/>
  <c r="H81" i="9"/>
  <c r="I81" i="9"/>
  <c r="F78" i="9"/>
  <c r="I78" i="9"/>
  <c r="H255" i="9"/>
  <c r="H250" i="9"/>
  <c r="I237" i="9"/>
  <c r="H219" i="9"/>
  <c r="H214" i="9"/>
  <c r="H198" i="9"/>
  <c r="H193" i="9"/>
  <c r="G255" i="9"/>
  <c r="G250" i="9"/>
  <c r="I247" i="9"/>
  <c r="H237" i="9"/>
  <c r="I229" i="9"/>
  <c r="G219" i="9"/>
  <c r="G214" i="9"/>
  <c r="I211" i="9"/>
  <c r="G198" i="9"/>
  <c r="I195" i="9"/>
  <c r="G193" i="9"/>
  <c r="H167" i="9"/>
  <c r="I167" i="9"/>
  <c r="I160" i="9"/>
  <c r="H154" i="9"/>
  <c r="G148" i="9"/>
  <c r="H148" i="9"/>
  <c r="G145" i="9"/>
  <c r="I135" i="9"/>
  <c r="F135" i="9"/>
  <c r="G100" i="9"/>
  <c r="H100" i="9"/>
  <c r="I100" i="9"/>
  <c r="H247" i="9"/>
  <c r="G237" i="9"/>
  <c r="H234" i="9"/>
  <c r="H229" i="9"/>
  <c r="H211" i="9"/>
  <c r="F201" i="9"/>
  <c r="I201" i="9"/>
  <c r="F198" i="9"/>
  <c r="H195" i="9"/>
  <c r="I178" i="9"/>
  <c r="I175" i="9"/>
  <c r="I172" i="9"/>
  <c r="I166" i="9"/>
  <c r="F160" i="9"/>
  <c r="F154" i="9"/>
  <c r="F117" i="9"/>
  <c r="G117" i="9"/>
  <c r="H117" i="9"/>
  <c r="I117" i="9"/>
  <c r="F114" i="9"/>
  <c r="I114" i="9"/>
  <c r="F18" i="9"/>
  <c r="G18" i="9"/>
  <c r="H18" i="9"/>
  <c r="I18" i="9"/>
  <c r="F141" i="9"/>
  <c r="G141" i="9"/>
  <c r="I141" i="9"/>
  <c r="F138" i="9"/>
  <c r="I138" i="9"/>
  <c r="G124" i="9"/>
  <c r="H124" i="9"/>
  <c r="I124" i="9"/>
  <c r="G99" i="9"/>
  <c r="I99" i="9"/>
  <c r="F99" i="9"/>
  <c r="I249" i="9"/>
  <c r="H244" i="9"/>
  <c r="G239" i="9"/>
  <c r="F234" i="9"/>
  <c r="H231" i="9"/>
  <c r="H226" i="9"/>
  <c r="I213" i="9"/>
  <c r="H208" i="9"/>
  <c r="G203" i="9"/>
  <c r="H200" i="9"/>
  <c r="I192" i="9"/>
  <c r="F178" i="9"/>
  <c r="F175" i="9"/>
  <c r="F172" i="9"/>
  <c r="H169" i="9"/>
  <c r="F166" i="9"/>
  <c r="I159" i="9"/>
  <c r="G150" i="9"/>
  <c r="G147" i="9"/>
  <c r="H106" i="9"/>
  <c r="G88" i="9"/>
  <c r="H88" i="9"/>
  <c r="I88" i="9"/>
  <c r="F153" i="9"/>
  <c r="G153" i="9"/>
  <c r="I153" i="9"/>
  <c r="G76" i="9"/>
  <c r="H76" i="9"/>
  <c r="I76" i="9"/>
  <c r="F30" i="9"/>
  <c r="G30" i="9"/>
  <c r="H30" i="9"/>
  <c r="I30" i="9"/>
  <c r="H22" i="9"/>
  <c r="F22" i="9"/>
  <c r="G22" i="9"/>
  <c r="G249" i="9"/>
  <c r="G213" i="9"/>
  <c r="G192" i="9"/>
  <c r="G189" i="9"/>
  <c r="H165" i="9"/>
  <c r="G159" i="9"/>
  <c r="F144" i="9"/>
  <c r="I144" i="9"/>
  <c r="I123" i="9"/>
  <c r="F123" i="9"/>
  <c r="G102" i="9"/>
  <c r="I46" i="9"/>
  <c r="F42" i="9"/>
  <c r="G42" i="9"/>
  <c r="H42" i="9"/>
  <c r="I42" i="9"/>
  <c r="H34" i="9"/>
  <c r="F34" i="9"/>
  <c r="G34" i="9"/>
  <c r="I132" i="9"/>
  <c r="I120" i="9"/>
  <c r="I108" i="9"/>
  <c r="I96" i="9"/>
  <c r="F87" i="9"/>
  <c r="I84" i="9"/>
  <c r="F75" i="9"/>
  <c r="I72" i="9"/>
  <c r="F63" i="9"/>
  <c r="I60" i="9"/>
  <c r="F51" i="9"/>
  <c r="I48" i="9"/>
  <c r="F39" i="9"/>
  <c r="I36" i="9"/>
  <c r="F27" i="9"/>
  <c r="I24" i="9"/>
  <c r="H17" i="9"/>
  <c r="F15" i="9"/>
  <c r="I12" i="9"/>
  <c r="G10" i="9"/>
  <c r="H5" i="9"/>
  <c r="F3" i="9"/>
  <c r="F10" i="9"/>
  <c r="I69" i="9"/>
  <c r="I57" i="9"/>
  <c r="I45" i="9"/>
  <c r="I33" i="9"/>
  <c r="I21" i="9"/>
  <c r="I9" i="9"/>
  <c r="G7" i="9"/>
  <c r="H2" i="9"/>
  <c r="H69" i="9"/>
  <c r="I64" i="9"/>
  <c r="H57" i="9"/>
  <c r="I52" i="9"/>
  <c r="H45" i="9"/>
  <c r="I40" i="9"/>
  <c r="H33" i="9"/>
  <c r="I28" i="9"/>
  <c r="H21" i="9"/>
  <c r="I16" i="9"/>
  <c r="H9" i="9"/>
  <c r="I4" i="9"/>
  <c r="G2" i="9"/>
  <c r="I143" i="9"/>
  <c r="I131" i="9"/>
  <c r="I119" i="9"/>
  <c r="I107" i="9"/>
  <c r="I95" i="9"/>
  <c r="I83" i="9"/>
  <c r="I71" i="9"/>
  <c r="G69" i="9"/>
  <c r="H64" i="9"/>
  <c r="I59" i="9"/>
  <c r="G57" i="9"/>
  <c r="H52" i="9"/>
  <c r="I47" i="9"/>
  <c r="G45" i="9"/>
  <c r="H40" i="9"/>
  <c r="I35" i="9"/>
  <c r="G33" i="9"/>
  <c r="H28" i="9"/>
  <c r="I23" i="9"/>
  <c r="G21" i="9"/>
  <c r="H16" i="9"/>
  <c r="I11" i="9"/>
  <c r="G9" i="9"/>
  <c r="H4" i="9"/>
  <c r="G64" i="9"/>
  <c r="G52" i="9"/>
  <c r="G40" i="9"/>
  <c r="G28" i="9"/>
  <c r="G16" i="9"/>
  <c r="G4" i="9"/>
  <c r="I1" i="9"/>
  <c r="H1" i="9"/>
  <c r="I87" i="9"/>
  <c r="I75" i="9"/>
  <c r="I63" i="9"/>
  <c r="I51" i="9"/>
  <c r="I39" i="9"/>
  <c r="I27" i="9"/>
  <c r="I15" i="9"/>
  <c r="H8" i="9"/>
  <c r="I3" i="9"/>
  <c r="G1" i="9"/>
  <c r="E155" i="7"/>
  <c r="E156" i="7"/>
  <c r="I156" i="7" s="1"/>
  <c r="K156" i="7" s="1"/>
  <c r="E157" i="7"/>
  <c r="E158" i="7"/>
  <c r="F158" i="7" s="1"/>
  <c r="E159" i="7"/>
  <c r="F159" i="7" s="1"/>
  <c r="E160" i="7"/>
  <c r="E161" i="7"/>
  <c r="H161" i="7" s="1"/>
  <c r="E162" i="7"/>
  <c r="E163" i="7"/>
  <c r="E164" i="7"/>
  <c r="E165" i="7"/>
  <c r="E166" i="7"/>
  <c r="E167" i="7"/>
  <c r="E168" i="7"/>
  <c r="E169" i="7"/>
  <c r="E170" i="7"/>
  <c r="E171" i="7"/>
  <c r="E172" i="7"/>
  <c r="H172" i="7" s="1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H197" i="7" s="1"/>
  <c r="E198" i="7"/>
  <c r="E154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9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4" i="7"/>
  <c r="E85" i="7"/>
  <c r="E86" i="7"/>
  <c r="E87" i="7"/>
  <c r="E88" i="7"/>
  <c r="E89" i="7"/>
  <c r="E90" i="7"/>
  <c r="E57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3" i="7"/>
  <c r="E24" i="7"/>
  <c r="E25" i="7"/>
  <c r="E26" i="7"/>
  <c r="E27" i="7"/>
  <c r="E28" i="7"/>
  <c r="E29" i="7"/>
  <c r="E31" i="7"/>
  <c r="E32" i="7"/>
  <c r="E33" i="7"/>
  <c r="E34" i="7"/>
  <c r="E35" i="7"/>
  <c r="E36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6" i="7"/>
  <c r="H6" i="7" s="1"/>
  <c r="C152" i="7"/>
  <c r="C3" i="3"/>
  <c r="F81" i="7" l="1"/>
  <c r="G114" i="7"/>
  <c r="H114" i="7"/>
  <c r="I114" i="7"/>
  <c r="K114" i="7" s="1"/>
  <c r="J114" i="7"/>
  <c r="F114" i="7"/>
  <c r="F82" i="7"/>
  <c r="G82" i="7"/>
  <c r="H82" i="7"/>
  <c r="I82" i="7"/>
  <c r="K82" i="7" s="1"/>
  <c r="J82" i="7"/>
  <c r="F136" i="7"/>
  <c r="G136" i="7"/>
  <c r="I136" i="7"/>
  <c r="K136" i="7" s="1"/>
  <c r="H136" i="7"/>
  <c r="J136" i="7"/>
  <c r="J80" i="7"/>
  <c r="F80" i="7"/>
  <c r="H80" i="7"/>
  <c r="G80" i="7"/>
  <c r="I80" i="7"/>
  <c r="K80" i="7" s="1"/>
  <c r="F135" i="7"/>
  <c r="G135" i="7"/>
  <c r="H135" i="7"/>
  <c r="I135" i="7"/>
  <c r="K135" i="7" s="1"/>
  <c r="J135" i="7"/>
  <c r="F79" i="7"/>
  <c r="G79" i="7"/>
  <c r="H79" i="7"/>
  <c r="I79" i="7"/>
  <c r="K79" i="7" s="1"/>
  <c r="J79" i="7"/>
  <c r="F13" i="7"/>
  <c r="G13" i="7"/>
  <c r="I13" i="7"/>
  <c r="K13" i="7" s="1"/>
  <c r="H13" i="7"/>
  <c r="J13" i="7"/>
  <c r="F166" i="7"/>
  <c r="G166" i="7"/>
  <c r="H166" i="7"/>
  <c r="I166" i="7"/>
  <c r="K166" i="7" s="1"/>
  <c r="J166" i="7"/>
  <c r="F168" i="7"/>
  <c r="G168" i="7"/>
  <c r="H168" i="7"/>
  <c r="I168" i="7"/>
  <c r="K168" i="7" s="1"/>
  <c r="J168" i="7"/>
  <c r="H167" i="7"/>
  <c r="I167" i="7"/>
  <c r="K167" i="7" s="1"/>
  <c r="J167" i="7"/>
  <c r="F167" i="7"/>
  <c r="G167" i="7"/>
  <c r="F37" i="7"/>
  <c r="H37" i="7"/>
  <c r="J37" i="7"/>
  <c r="G37" i="7"/>
  <c r="I37" i="7"/>
  <c r="K37" i="7" s="1"/>
  <c r="J58" i="7"/>
  <c r="I58" i="7"/>
  <c r="K58" i="7" s="1"/>
  <c r="H58" i="7"/>
  <c r="G58" i="7"/>
  <c r="F58" i="7"/>
  <c r="I112" i="7"/>
  <c r="K112" i="7" s="1"/>
  <c r="J112" i="7"/>
  <c r="H112" i="7"/>
  <c r="F112" i="7"/>
  <c r="G112" i="7"/>
  <c r="F111" i="7"/>
  <c r="G111" i="7"/>
  <c r="H111" i="7"/>
  <c r="I111" i="7"/>
  <c r="K111" i="7" s="1"/>
  <c r="J111" i="7"/>
  <c r="J110" i="7"/>
  <c r="F110" i="7"/>
  <c r="G110" i="7"/>
  <c r="H110" i="7"/>
  <c r="I110" i="7"/>
  <c r="K110" i="7" s="1"/>
  <c r="F133" i="7"/>
  <c r="G133" i="7"/>
  <c r="H133" i="7"/>
  <c r="I133" i="7"/>
  <c r="K133" i="7" s="1"/>
  <c r="J133" i="7"/>
  <c r="F108" i="7"/>
  <c r="G108" i="7"/>
  <c r="H108" i="7"/>
  <c r="I108" i="7"/>
  <c r="K108" i="7" s="1"/>
  <c r="J108" i="7"/>
  <c r="G132" i="7"/>
  <c r="F132" i="7"/>
  <c r="H132" i="7"/>
  <c r="I132" i="7"/>
  <c r="K132" i="7" s="1"/>
  <c r="J132" i="7"/>
  <c r="F113" i="7"/>
  <c r="G113" i="7"/>
  <c r="H113" i="7"/>
  <c r="I113" i="7"/>
  <c r="K113" i="7" s="1"/>
  <c r="J113" i="7"/>
  <c r="F179" i="7"/>
  <c r="G179" i="7"/>
  <c r="H179" i="7"/>
  <c r="I179" i="7"/>
  <c r="K179" i="7" s="1"/>
  <c r="J179" i="7"/>
  <c r="J122" i="7"/>
  <c r="F122" i="7"/>
  <c r="G122" i="7"/>
  <c r="H122" i="7"/>
  <c r="I122" i="7"/>
  <c r="K122" i="7" s="1"/>
  <c r="J120" i="7"/>
  <c r="I120" i="7"/>
  <c r="K120" i="7" s="1"/>
  <c r="F120" i="7"/>
  <c r="G120" i="7"/>
  <c r="H120" i="7"/>
  <c r="F119" i="7"/>
  <c r="G119" i="7"/>
  <c r="H119" i="7"/>
  <c r="I119" i="7"/>
  <c r="K119" i="7" s="1"/>
  <c r="J119" i="7"/>
  <c r="I118" i="7"/>
  <c r="K118" i="7" s="1"/>
  <c r="J118" i="7"/>
  <c r="H118" i="7"/>
  <c r="F118" i="7"/>
  <c r="G118" i="7"/>
  <c r="F117" i="7"/>
  <c r="G117" i="7"/>
  <c r="H117" i="7"/>
  <c r="I117" i="7"/>
  <c r="K117" i="7" s="1"/>
  <c r="J117" i="7"/>
  <c r="H116" i="7"/>
  <c r="I116" i="7"/>
  <c r="K116" i="7" s="1"/>
  <c r="J116" i="7"/>
  <c r="G116" i="7"/>
  <c r="F116" i="7"/>
  <c r="F128" i="7"/>
  <c r="G128" i="7"/>
  <c r="H128" i="7"/>
  <c r="I128" i="7"/>
  <c r="K128" i="7" s="1"/>
  <c r="J128" i="7"/>
  <c r="F115" i="7"/>
  <c r="G115" i="7"/>
  <c r="H115" i="7"/>
  <c r="I115" i="7"/>
  <c r="K115" i="7" s="1"/>
  <c r="J115" i="7"/>
  <c r="H127" i="7"/>
  <c r="I127" i="7"/>
  <c r="K127" i="7" s="1"/>
  <c r="J127" i="7"/>
  <c r="G127" i="7"/>
  <c r="F127" i="7"/>
  <c r="F123" i="7"/>
  <c r="G123" i="7"/>
  <c r="H123" i="7"/>
  <c r="I123" i="7"/>
  <c r="K123" i="7" s="1"/>
  <c r="J123" i="7"/>
  <c r="F126" i="7"/>
  <c r="G126" i="7"/>
  <c r="H126" i="7"/>
  <c r="I126" i="7"/>
  <c r="K126" i="7" s="1"/>
  <c r="J126" i="7"/>
  <c r="F49" i="7"/>
  <c r="G49" i="7"/>
  <c r="H49" i="7"/>
  <c r="I49" i="7"/>
  <c r="K49" i="7" s="1"/>
  <c r="J49" i="7"/>
  <c r="G125" i="7"/>
  <c r="H125" i="7"/>
  <c r="I125" i="7"/>
  <c r="K125" i="7" s="1"/>
  <c r="J125" i="7"/>
  <c r="F125" i="7"/>
  <c r="F124" i="7"/>
  <c r="G124" i="7"/>
  <c r="H124" i="7"/>
  <c r="I124" i="7"/>
  <c r="K124" i="7" s="1"/>
  <c r="J124" i="7"/>
  <c r="F67" i="7"/>
  <c r="G67" i="7"/>
  <c r="H67" i="7"/>
  <c r="I67" i="7"/>
  <c r="K67" i="7" s="1"/>
  <c r="J67" i="7"/>
  <c r="H57" i="7"/>
  <c r="I57" i="7"/>
  <c r="K57" i="7" s="1"/>
  <c r="J57" i="7"/>
  <c r="F57" i="7"/>
  <c r="G57" i="7"/>
  <c r="F66" i="7"/>
  <c r="G66" i="7"/>
  <c r="H66" i="7"/>
  <c r="I66" i="7"/>
  <c r="K66" i="7" s="1"/>
  <c r="J66" i="7"/>
  <c r="F186" i="7"/>
  <c r="G186" i="7"/>
  <c r="H186" i="7"/>
  <c r="I186" i="7"/>
  <c r="K186" i="7" s="1"/>
  <c r="J186" i="7"/>
  <c r="G77" i="7"/>
  <c r="H77" i="7"/>
  <c r="I77" i="7"/>
  <c r="K77" i="7" s="1"/>
  <c r="J77" i="7"/>
  <c r="F77" i="7"/>
  <c r="F65" i="7"/>
  <c r="G65" i="7"/>
  <c r="H65" i="7"/>
  <c r="I65" i="7"/>
  <c r="K65" i="7" s="1"/>
  <c r="J65" i="7"/>
  <c r="F185" i="7"/>
  <c r="G185" i="7"/>
  <c r="H185" i="7"/>
  <c r="I185" i="7"/>
  <c r="K185" i="7" s="1"/>
  <c r="J185" i="7"/>
  <c r="F183" i="7"/>
  <c r="G183" i="7"/>
  <c r="H183" i="7"/>
  <c r="I183" i="7"/>
  <c r="K183" i="7" s="1"/>
  <c r="J183" i="7"/>
  <c r="F76" i="7"/>
  <c r="G76" i="7"/>
  <c r="H76" i="7"/>
  <c r="I76" i="7"/>
  <c r="K76" i="7" s="1"/>
  <c r="J76" i="7"/>
  <c r="F184" i="7"/>
  <c r="G184" i="7"/>
  <c r="H184" i="7"/>
  <c r="I184" i="7"/>
  <c r="K184" i="7" s="1"/>
  <c r="J184" i="7"/>
  <c r="I75" i="7"/>
  <c r="K75" i="7" s="1"/>
  <c r="J75" i="7"/>
  <c r="F75" i="7"/>
  <c r="G75" i="7"/>
  <c r="H75" i="7"/>
  <c r="F171" i="7"/>
  <c r="G171" i="7"/>
  <c r="H171" i="7"/>
  <c r="I171" i="7"/>
  <c r="K171" i="7" s="1"/>
  <c r="J171" i="7"/>
  <c r="F74" i="7"/>
  <c r="G74" i="7"/>
  <c r="H74" i="7"/>
  <c r="I74" i="7"/>
  <c r="K74" i="7" s="1"/>
  <c r="J74" i="7"/>
  <c r="I182" i="7"/>
  <c r="K182" i="7" s="1"/>
  <c r="J182" i="7"/>
  <c r="F182" i="7"/>
  <c r="G182" i="7"/>
  <c r="H182" i="7"/>
  <c r="G170" i="7"/>
  <c r="H170" i="7"/>
  <c r="I170" i="7"/>
  <c r="K170" i="7" s="1"/>
  <c r="J170" i="7"/>
  <c r="F170" i="7"/>
  <c r="F181" i="7"/>
  <c r="G181" i="7"/>
  <c r="H181" i="7"/>
  <c r="I181" i="7"/>
  <c r="K181" i="7" s="1"/>
  <c r="J181" i="7"/>
  <c r="F169" i="7"/>
  <c r="G169" i="7"/>
  <c r="H169" i="7"/>
  <c r="I169" i="7"/>
  <c r="K169" i="7" s="1"/>
  <c r="J169" i="7"/>
  <c r="F192" i="7"/>
  <c r="G192" i="7"/>
  <c r="H192" i="7"/>
  <c r="I192" i="7"/>
  <c r="K192" i="7" s="1"/>
  <c r="J192" i="7"/>
  <c r="F86" i="7"/>
  <c r="G86" i="7"/>
  <c r="H86" i="7"/>
  <c r="I86" i="7"/>
  <c r="K86" i="7" s="1"/>
  <c r="J86" i="7"/>
  <c r="H193" i="7"/>
  <c r="I193" i="7"/>
  <c r="K193" i="7" s="1"/>
  <c r="J193" i="7"/>
  <c r="F193" i="7"/>
  <c r="G193" i="7"/>
  <c r="F190" i="7"/>
  <c r="G190" i="7"/>
  <c r="H190" i="7"/>
  <c r="I190" i="7"/>
  <c r="K190" i="7" s="1"/>
  <c r="J190" i="7"/>
  <c r="F69" i="7"/>
  <c r="G69" i="7"/>
  <c r="H69" i="7"/>
  <c r="I69" i="7"/>
  <c r="K69" i="7" s="1"/>
  <c r="J69" i="7"/>
  <c r="H177" i="7"/>
  <c r="I177" i="7"/>
  <c r="K177" i="7" s="1"/>
  <c r="J177" i="7"/>
  <c r="F177" i="7"/>
  <c r="G177" i="7"/>
  <c r="F72" i="7"/>
  <c r="G72" i="7"/>
  <c r="H72" i="7"/>
  <c r="I72" i="7"/>
  <c r="K72" i="7" s="1"/>
  <c r="J72" i="7"/>
  <c r="F68" i="7"/>
  <c r="G68" i="7"/>
  <c r="H68" i="7"/>
  <c r="I68" i="7"/>
  <c r="K68" i="7" s="1"/>
  <c r="J68" i="7"/>
  <c r="H164" i="7"/>
  <c r="I164" i="7"/>
  <c r="K164" i="7" s="1"/>
  <c r="J164" i="7"/>
  <c r="G164" i="7"/>
  <c r="F164" i="7"/>
  <c r="F163" i="7"/>
  <c r="G163" i="7"/>
  <c r="H163" i="7"/>
  <c r="I163" i="7"/>
  <c r="K163" i="7" s="1"/>
  <c r="J163" i="7"/>
  <c r="J63" i="7"/>
  <c r="F63" i="7"/>
  <c r="G63" i="7"/>
  <c r="H63" i="7"/>
  <c r="I63" i="7"/>
  <c r="K63" i="7" s="1"/>
  <c r="F62" i="7"/>
  <c r="G62" i="7"/>
  <c r="H62" i="7"/>
  <c r="I62" i="7"/>
  <c r="K62" i="7" s="1"/>
  <c r="J62" i="7"/>
  <c r="F73" i="7"/>
  <c r="G73" i="7"/>
  <c r="H73" i="7"/>
  <c r="I73" i="7"/>
  <c r="K73" i="7" s="1"/>
  <c r="J73" i="7"/>
  <c r="J71" i="7"/>
  <c r="I71" i="7"/>
  <c r="K71" i="7" s="1"/>
  <c r="F71" i="7"/>
  <c r="G71" i="7"/>
  <c r="H71" i="7"/>
  <c r="F70" i="7"/>
  <c r="G70" i="7"/>
  <c r="H70" i="7"/>
  <c r="I70" i="7"/>
  <c r="K70" i="7" s="1"/>
  <c r="J70" i="7"/>
  <c r="F129" i="7"/>
  <c r="G129" i="7"/>
  <c r="H129" i="7"/>
  <c r="I129" i="7"/>
  <c r="K129" i="7" s="1"/>
  <c r="J129" i="7"/>
  <c r="F16" i="7"/>
  <c r="G16" i="7"/>
  <c r="H16" i="7"/>
  <c r="I16" i="7"/>
  <c r="K16" i="7" s="1"/>
  <c r="J16" i="7"/>
  <c r="F10" i="7"/>
  <c r="G10" i="7"/>
  <c r="H10" i="7"/>
  <c r="I10" i="7"/>
  <c r="K10" i="7" s="1"/>
  <c r="J10" i="7"/>
  <c r="J21" i="7"/>
  <c r="F21" i="7"/>
  <c r="G21" i="7"/>
  <c r="H21" i="7"/>
  <c r="I21" i="7"/>
  <c r="K21" i="7" s="1"/>
  <c r="F20" i="7"/>
  <c r="G20" i="7"/>
  <c r="H20" i="7"/>
  <c r="I20" i="7"/>
  <c r="K20" i="7" s="1"/>
  <c r="J20" i="7"/>
  <c r="H19" i="7"/>
  <c r="I19" i="7"/>
  <c r="K19" i="7" s="1"/>
  <c r="J19" i="7"/>
  <c r="F19" i="7"/>
  <c r="G19" i="7"/>
  <c r="F18" i="7"/>
  <c r="G18" i="7"/>
  <c r="H18" i="7"/>
  <c r="I18" i="7"/>
  <c r="K18" i="7" s="1"/>
  <c r="J18" i="7"/>
  <c r="F15" i="7"/>
  <c r="G15" i="7"/>
  <c r="H15" i="7"/>
  <c r="I15" i="7"/>
  <c r="K15" i="7" s="1"/>
  <c r="J15" i="7"/>
  <c r="F78" i="7"/>
  <c r="G78" i="7"/>
  <c r="H78" i="7"/>
  <c r="I78" i="7"/>
  <c r="K78" i="7" s="1"/>
  <c r="J78" i="7"/>
  <c r="F17" i="7"/>
  <c r="G17" i="7"/>
  <c r="H17" i="7"/>
  <c r="I17" i="7"/>
  <c r="K17" i="7" s="1"/>
  <c r="J17" i="7"/>
  <c r="I14" i="7"/>
  <c r="K14" i="7" s="1"/>
  <c r="J14" i="7"/>
  <c r="F14" i="7"/>
  <c r="G14" i="7"/>
  <c r="H14" i="7"/>
  <c r="G12" i="7"/>
  <c r="H12" i="7"/>
  <c r="I12" i="7"/>
  <c r="K12" i="7" s="1"/>
  <c r="J12" i="7"/>
  <c r="F12" i="7"/>
  <c r="F11" i="7"/>
  <c r="G11" i="7"/>
  <c r="H11" i="7"/>
  <c r="I11" i="7"/>
  <c r="K11" i="7" s="1"/>
  <c r="J11" i="7"/>
  <c r="J9" i="7"/>
  <c r="F9" i="7"/>
  <c r="G9" i="7"/>
  <c r="H9" i="7"/>
  <c r="I9" i="7"/>
  <c r="K9" i="7" s="1"/>
  <c r="F147" i="7"/>
  <c r="G147" i="7"/>
  <c r="H147" i="7"/>
  <c r="I147" i="7"/>
  <c r="K147" i="7" s="1"/>
  <c r="J147" i="7"/>
  <c r="F176" i="7"/>
  <c r="G176" i="7"/>
  <c r="H176" i="7"/>
  <c r="I176" i="7"/>
  <c r="K176" i="7" s="1"/>
  <c r="J176" i="7"/>
  <c r="I146" i="7"/>
  <c r="K146" i="7" s="1"/>
  <c r="J146" i="7"/>
  <c r="G146" i="7"/>
  <c r="F146" i="7"/>
  <c r="H146" i="7"/>
  <c r="F143" i="7"/>
  <c r="G143" i="7"/>
  <c r="H143" i="7"/>
  <c r="I143" i="7"/>
  <c r="K143" i="7" s="1"/>
  <c r="J143" i="7"/>
  <c r="F145" i="7"/>
  <c r="G145" i="7"/>
  <c r="H145" i="7"/>
  <c r="I145" i="7"/>
  <c r="K145" i="7" s="1"/>
  <c r="J145" i="7"/>
  <c r="H144" i="7"/>
  <c r="I144" i="7"/>
  <c r="K144" i="7" s="1"/>
  <c r="J144" i="7"/>
  <c r="F144" i="7"/>
  <c r="G144" i="7"/>
  <c r="F142" i="7"/>
  <c r="G142" i="7"/>
  <c r="H142" i="7"/>
  <c r="I142" i="7"/>
  <c r="K142" i="7" s="1"/>
  <c r="J142" i="7"/>
  <c r="F141" i="7"/>
  <c r="G141" i="7"/>
  <c r="H141" i="7"/>
  <c r="I141" i="7"/>
  <c r="K141" i="7" s="1"/>
  <c r="J141" i="7"/>
  <c r="F140" i="7"/>
  <c r="G140" i="7"/>
  <c r="H140" i="7"/>
  <c r="I140" i="7"/>
  <c r="K140" i="7" s="1"/>
  <c r="J140" i="7"/>
  <c r="J139" i="7"/>
  <c r="F139" i="7"/>
  <c r="G139" i="7"/>
  <c r="H139" i="7"/>
  <c r="I139" i="7"/>
  <c r="K139" i="7" s="1"/>
  <c r="F138" i="7"/>
  <c r="G138" i="7"/>
  <c r="H138" i="7"/>
  <c r="I138" i="7"/>
  <c r="K138" i="7" s="1"/>
  <c r="J138" i="7"/>
  <c r="H137" i="7"/>
  <c r="I137" i="7"/>
  <c r="K137" i="7" s="1"/>
  <c r="J137" i="7"/>
  <c r="F137" i="7"/>
  <c r="G137" i="7"/>
  <c r="F85" i="7"/>
  <c r="G85" i="7"/>
  <c r="H85" i="7"/>
  <c r="I85" i="7"/>
  <c r="K85" i="7" s="1"/>
  <c r="J85" i="7"/>
  <c r="F45" i="7"/>
  <c r="G45" i="7"/>
  <c r="H45" i="7"/>
  <c r="I45" i="7"/>
  <c r="K45" i="7" s="1"/>
  <c r="J45" i="7"/>
  <c r="I187" i="7"/>
  <c r="K187" i="7" s="1"/>
  <c r="J187" i="7"/>
  <c r="H187" i="7"/>
  <c r="G187" i="7"/>
  <c r="F187" i="7"/>
  <c r="H180" i="7"/>
  <c r="I180" i="7"/>
  <c r="K180" i="7" s="1"/>
  <c r="J180" i="7"/>
  <c r="G180" i="7"/>
  <c r="F180" i="7"/>
  <c r="F188" i="7"/>
  <c r="G188" i="7"/>
  <c r="H188" i="7"/>
  <c r="I188" i="7"/>
  <c r="K188" i="7" s="1"/>
  <c r="J188" i="7"/>
  <c r="F46" i="7"/>
  <c r="G46" i="7"/>
  <c r="H46" i="7"/>
  <c r="I46" i="7"/>
  <c r="K46" i="7" s="1"/>
  <c r="J46" i="7"/>
  <c r="F44" i="7"/>
  <c r="G44" i="7"/>
  <c r="H44" i="7"/>
  <c r="I44" i="7"/>
  <c r="K44" i="7" s="1"/>
  <c r="J44" i="7"/>
  <c r="J43" i="7"/>
  <c r="I43" i="7"/>
  <c r="K43" i="7" s="1"/>
  <c r="F43" i="7"/>
  <c r="G43" i="7"/>
  <c r="H43" i="7"/>
  <c r="G47" i="7"/>
  <c r="F47" i="7"/>
  <c r="J47" i="7"/>
  <c r="H47" i="7"/>
  <c r="I47" i="7"/>
  <c r="K47" i="7" s="1"/>
  <c r="F189" i="7"/>
  <c r="G189" i="7"/>
  <c r="H189" i="7"/>
  <c r="I189" i="7"/>
  <c r="K189" i="7" s="1"/>
  <c r="J189" i="7"/>
  <c r="F84" i="7"/>
  <c r="G84" i="7"/>
  <c r="H84" i="7"/>
  <c r="I84" i="7"/>
  <c r="K84" i="7" s="1"/>
  <c r="J84" i="7"/>
  <c r="J89" i="7"/>
  <c r="F89" i="7"/>
  <c r="G89" i="7"/>
  <c r="H89" i="7"/>
  <c r="I89" i="7"/>
  <c r="K89" i="7" s="1"/>
  <c r="F88" i="7"/>
  <c r="G88" i="7"/>
  <c r="H88" i="7"/>
  <c r="I88" i="7"/>
  <c r="K88" i="7" s="1"/>
  <c r="J88" i="7"/>
  <c r="I87" i="7"/>
  <c r="K87" i="7" s="1"/>
  <c r="J87" i="7"/>
  <c r="F87" i="7"/>
  <c r="G87" i="7"/>
  <c r="H87" i="7"/>
  <c r="G61" i="7"/>
  <c r="H61" i="7"/>
  <c r="I61" i="7"/>
  <c r="K61" i="7" s="1"/>
  <c r="J61" i="7"/>
  <c r="F61" i="7"/>
  <c r="F60" i="7"/>
  <c r="G60" i="7"/>
  <c r="H60" i="7"/>
  <c r="I60" i="7"/>
  <c r="K60" i="7" s="1"/>
  <c r="J60" i="7"/>
  <c r="F155" i="7"/>
  <c r="G155" i="7"/>
  <c r="H155" i="7"/>
  <c r="I155" i="7"/>
  <c r="K155" i="7" s="1"/>
  <c r="J155" i="7"/>
  <c r="G107" i="7"/>
  <c r="F107" i="7"/>
  <c r="H107" i="7"/>
  <c r="I107" i="7"/>
  <c r="K107" i="7" s="1"/>
  <c r="J107" i="7"/>
  <c r="F23" i="7"/>
  <c r="G23" i="7"/>
  <c r="H23" i="7"/>
  <c r="I23" i="7"/>
  <c r="K23" i="7" s="1"/>
  <c r="J23" i="7"/>
  <c r="F8" i="7"/>
  <c r="J8" i="7"/>
  <c r="G8" i="7"/>
  <c r="H8" i="7"/>
  <c r="I8" i="7"/>
  <c r="K8" i="7" s="1"/>
  <c r="I7" i="7"/>
  <c r="K7" i="7" s="1"/>
  <c r="F7" i="7"/>
  <c r="H7" i="7"/>
  <c r="J7" i="7"/>
  <c r="G7" i="7"/>
  <c r="G106" i="7"/>
  <c r="H106" i="7"/>
  <c r="I106" i="7"/>
  <c r="K106" i="7" s="1"/>
  <c r="J106" i="7"/>
  <c r="F106" i="7"/>
  <c r="F105" i="7"/>
  <c r="G105" i="7"/>
  <c r="H105" i="7"/>
  <c r="J105" i="7"/>
  <c r="I105" i="7"/>
  <c r="K105" i="7" s="1"/>
  <c r="G27" i="7"/>
  <c r="H27" i="7"/>
  <c r="I27" i="7"/>
  <c r="K27" i="7" s="1"/>
  <c r="J27" i="7"/>
  <c r="F27" i="7"/>
  <c r="F104" i="7"/>
  <c r="G104" i="7"/>
  <c r="H104" i="7"/>
  <c r="I104" i="7"/>
  <c r="K104" i="7" s="1"/>
  <c r="J104" i="7"/>
  <c r="F25" i="7"/>
  <c r="G25" i="7"/>
  <c r="I25" i="7"/>
  <c r="K25" i="7" s="1"/>
  <c r="J25" i="7"/>
  <c r="H25" i="7"/>
  <c r="J26" i="7"/>
  <c r="H26" i="7"/>
  <c r="F26" i="7"/>
  <c r="G26" i="7"/>
  <c r="I26" i="7"/>
  <c r="K26" i="7" s="1"/>
  <c r="H24" i="7"/>
  <c r="I24" i="7"/>
  <c r="K24" i="7" s="1"/>
  <c r="J24" i="7"/>
  <c r="F24" i="7"/>
  <c r="G24" i="7"/>
  <c r="F31" i="7"/>
  <c r="G31" i="7"/>
  <c r="H31" i="7"/>
  <c r="I31" i="7"/>
  <c r="K31" i="7" s="1"/>
  <c r="J31" i="7"/>
  <c r="J90" i="7"/>
  <c r="F90" i="7"/>
  <c r="G90" i="7"/>
  <c r="H90" i="7"/>
  <c r="I90" i="7"/>
  <c r="K90" i="7" s="1"/>
  <c r="F173" i="7"/>
  <c r="G173" i="7"/>
  <c r="H173" i="7"/>
  <c r="I173" i="7"/>
  <c r="K173" i="7" s="1"/>
  <c r="J173" i="7"/>
  <c r="I174" i="7"/>
  <c r="K174" i="7" s="1"/>
  <c r="J174" i="7"/>
  <c r="F174" i="7"/>
  <c r="G174" i="7"/>
  <c r="H174" i="7"/>
  <c r="G194" i="7"/>
  <c r="H194" i="7"/>
  <c r="I194" i="7"/>
  <c r="K194" i="7" s="1"/>
  <c r="J194" i="7"/>
  <c r="F194" i="7"/>
  <c r="F103" i="7"/>
  <c r="G103" i="7"/>
  <c r="H103" i="7"/>
  <c r="I103" i="7"/>
  <c r="K103" i="7" s="1"/>
  <c r="J103" i="7"/>
  <c r="F102" i="7"/>
  <c r="G102" i="7"/>
  <c r="H102" i="7"/>
  <c r="I102" i="7"/>
  <c r="K102" i="7" s="1"/>
  <c r="J102" i="7"/>
  <c r="F101" i="7"/>
  <c r="G101" i="7"/>
  <c r="H101" i="7"/>
  <c r="J101" i="7"/>
  <c r="I101" i="7"/>
  <c r="K101" i="7" s="1"/>
  <c r="F100" i="7"/>
  <c r="G100" i="7"/>
  <c r="H100" i="7"/>
  <c r="I100" i="7"/>
  <c r="K100" i="7" s="1"/>
  <c r="J100" i="7"/>
  <c r="G28" i="7"/>
  <c r="H28" i="7"/>
  <c r="I28" i="7"/>
  <c r="K28" i="7" s="1"/>
  <c r="J28" i="7"/>
  <c r="F28" i="7"/>
  <c r="J99" i="7"/>
  <c r="F99" i="7"/>
  <c r="G99" i="7"/>
  <c r="I99" i="7"/>
  <c r="K99" i="7" s="1"/>
  <c r="H99" i="7"/>
  <c r="F98" i="7"/>
  <c r="G98" i="7"/>
  <c r="H98" i="7"/>
  <c r="I98" i="7"/>
  <c r="K98" i="7" s="1"/>
  <c r="J98" i="7"/>
  <c r="F29" i="7"/>
  <c r="G29" i="7"/>
  <c r="H29" i="7"/>
  <c r="I29" i="7"/>
  <c r="K29" i="7" s="1"/>
  <c r="J29" i="7"/>
  <c r="F175" i="7"/>
  <c r="G175" i="7"/>
  <c r="H175" i="7"/>
  <c r="I175" i="7"/>
  <c r="K175" i="7" s="1"/>
  <c r="J175" i="7"/>
  <c r="H34" i="7"/>
  <c r="F34" i="7"/>
  <c r="G34" i="7"/>
  <c r="I34" i="7"/>
  <c r="K34" i="7" s="1"/>
  <c r="J34" i="7"/>
  <c r="F33" i="7"/>
  <c r="G33" i="7"/>
  <c r="H33" i="7"/>
  <c r="I33" i="7"/>
  <c r="K33" i="7" s="1"/>
  <c r="J33" i="7"/>
  <c r="J32" i="7"/>
  <c r="G32" i="7"/>
  <c r="F32" i="7"/>
  <c r="H32" i="7"/>
  <c r="I32" i="7"/>
  <c r="K32" i="7" s="1"/>
  <c r="F195" i="7"/>
  <c r="G195" i="7"/>
  <c r="H195" i="7"/>
  <c r="I195" i="7"/>
  <c r="K195" i="7" s="1"/>
  <c r="J195" i="7"/>
  <c r="F196" i="7"/>
  <c r="G196" i="7"/>
  <c r="H196" i="7"/>
  <c r="I196" i="7"/>
  <c r="K196" i="7" s="1"/>
  <c r="J196" i="7"/>
  <c r="F39" i="7"/>
  <c r="G39" i="7"/>
  <c r="H39" i="7"/>
  <c r="I39" i="7"/>
  <c r="K39" i="7" s="1"/>
  <c r="J39" i="7"/>
  <c r="I38" i="7"/>
  <c r="K38" i="7" s="1"/>
  <c r="J38" i="7"/>
  <c r="F38" i="7"/>
  <c r="H38" i="7"/>
  <c r="G38" i="7"/>
  <c r="G36" i="7"/>
  <c r="H36" i="7"/>
  <c r="I36" i="7"/>
  <c r="K36" i="7" s="1"/>
  <c r="J36" i="7"/>
  <c r="F36" i="7"/>
  <c r="F35" i="7"/>
  <c r="G35" i="7"/>
  <c r="H35" i="7"/>
  <c r="I35" i="7"/>
  <c r="K35" i="7" s="1"/>
  <c r="J35" i="7"/>
  <c r="F97" i="7"/>
  <c r="G97" i="7"/>
  <c r="H97" i="7"/>
  <c r="I97" i="7"/>
  <c r="K97" i="7" s="1"/>
  <c r="J97" i="7"/>
  <c r="F42" i="7"/>
  <c r="G42" i="7"/>
  <c r="H42" i="7"/>
  <c r="I42" i="7"/>
  <c r="K42" i="7" s="1"/>
  <c r="J42" i="7"/>
  <c r="F41" i="7"/>
  <c r="G41" i="7"/>
  <c r="H41" i="7"/>
  <c r="I41" i="7"/>
  <c r="K41" i="7" s="1"/>
  <c r="J41" i="7"/>
  <c r="F40" i="7"/>
  <c r="G40" i="7"/>
  <c r="H40" i="7"/>
  <c r="J40" i="7"/>
  <c r="I40" i="7"/>
  <c r="K40" i="7" s="1"/>
  <c r="F50" i="7"/>
  <c r="G50" i="7"/>
  <c r="H50" i="7"/>
  <c r="I50" i="7"/>
  <c r="K50" i="7" s="1"/>
  <c r="J50" i="7"/>
  <c r="J197" i="7"/>
  <c r="J156" i="7"/>
  <c r="F156" i="7"/>
  <c r="G156" i="7"/>
  <c r="H156" i="7"/>
  <c r="I6" i="7"/>
  <c r="F165" i="7"/>
  <c r="H165" i="7"/>
  <c r="I165" i="7"/>
  <c r="K165" i="7" s="1"/>
  <c r="J165" i="7"/>
  <c r="J6" i="7"/>
  <c r="F6" i="7"/>
  <c r="I154" i="7"/>
  <c r="H154" i="7"/>
  <c r="G154" i="7"/>
  <c r="G6" i="7"/>
  <c r="G198" i="7"/>
  <c r="H198" i="7"/>
  <c r="I198" i="7"/>
  <c r="K198" i="7" s="1"/>
  <c r="F162" i="7"/>
  <c r="G162" i="7"/>
  <c r="H162" i="7"/>
  <c r="I162" i="7"/>
  <c r="K162" i="7" s="1"/>
  <c r="F154" i="7"/>
  <c r="I197" i="7"/>
  <c r="K197" i="7" s="1"/>
  <c r="F197" i="7"/>
  <c r="G197" i="7"/>
  <c r="I161" i="7"/>
  <c r="K161" i="7" s="1"/>
  <c r="J161" i="7"/>
  <c r="F161" i="7"/>
  <c r="G161" i="7"/>
  <c r="J154" i="7"/>
  <c r="G165" i="7"/>
  <c r="F172" i="7"/>
  <c r="G172" i="7"/>
  <c r="J172" i="7"/>
  <c r="F160" i="7"/>
  <c r="G160" i="7"/>
  <c r="I160" i="7"/>
  <c r="K160" i="7" s="1"/>
  <c r="J160" i="7"/>
  <c r="J198" i="7"/>
  <c r="G159" i="7"/>
  <c r="H159" i="7"/>
  <c r="I159" i="7"/>
  <c r="K159" i="7" s="1"/>
  <c r="J159" i="7"/>
  <c r="F198" i="7"/>
  <c r="J162" i="7"/>
  <c r="G158" i="7"/>
  <c r="H158" i="7"/>
  <c r="I158" i="7"/>
  <c r="K158" i="7" s="1"/>
  <c r="J158" i="7"/>
  <c r="F157" i="7"/>
  <c r="G157" i="7"/>
  <c r="H157" i="7"/>
  <c r="I157" i="7"/>
  <c r="K157" i="7" s="1"/>
  <c r="J157" i="7"/>
  <c r="I172" i="7"/>
  <c r="K172" i="7" s="1"/>
  <c r="H160" i="7"/>
  <c r="E16" i="5"/>
  <c r="E28" i="5"/>
  <c r="E39" i="5"/>
  <c r="E40" i="5"/>
  <c r="E64" i="5"/>
  <c r="E51" i="5"/>
  <c r="E27" i="5"/>
  <c r="E15" i="5"/>
  <c r="E8" i="5"/>
  <c r="E6" i="5"/>
  <c r="E7" i="5"/>
  <c r="E9" i="5"/>
  <c r="E10" i="5"/>
  <c r="E11" i="5"/>
  <c r="E12" i="5"/>
  <c r="E13" i="5"/>
  <c r="E14" i="5"/>
  <c r="E17" i="5"/>
  <c r="E18" i="5"/>
  <c r="E19" i="5"/>
  <c r="E20" i="5"/>
  <c r="E21" i="5"/>
  <c r="E22" i="5"/>
  <c r="E23" i="5"/>
  <c r="E24" i="5"/>
  <c r="E25" i="5"/>
  <c r="E26" i="5"/>
  <c r="E29" i="5"/>
  <c r="E30" i="5"/>
  <c r="E31" i="5"/>
  <c r="E32" i="5"/>
  <c r="E33" i="5"/>
  <c r="E34" i="5"/>
  <c r="E35" i="5"/>
  <c r="E36" i="5"/>
  <c r="E37" i="5"/>
  <c r="E38" i="5"/>
  <c r="E41" i="5"/>
  <c r="E42" i="5"/>
  <c r="E44" i="5"/>
  <c r="E45" i="5"/>
  <c r="E46" i="5"/>
  <c r="E47" i="5"/>
  <c r="E48" i="5"/>
  <c r="E49" i="5"/>
  <c r="E50" i="5"/>
  <c r="E52" i="5"/>
  <c r="E53" i="5"/>
  <c r="E54" i="5"/>
  <c r="E55" i="5"/>
  <c r="E56" i="5"/>
  <c r="E57" i="5"/>
  <c r="E58" i="5"/>
  <c r="E59" i="5"/>
  <c r="E60" i="5"/>
  <c r="E61" i="5"/>
  <c r="E62" i="5"/>
  <c r="E65" i="5"/>
  <c r="E66" i="5"/>
  <c r="E67" i="5"/>
  <c r="E68" i="5"/>
  <c r="E69" i="5"/>
  <c r="E70" i="5"/>
  <c r="E71" i="5"/>
  <c r="E72" i="5"/>
  <c r="E73" i="5"/>
  <c r="E74" i="5"/>
  <c r="E75" i="5"/>
  <c r="E5" i="5"/>
  <c r="E6" i="4"/>
  <c r="E7" i="4"/>
  <c r="E8" i="4"/>
  <c r="E9" i="4"/>
  <c r="E10" i="4"/>
  <c r="F5" i="4"/>
  <c r="I5" i="4" s="1"/>
  <c r="E5" i="4"/>
  <c r="H5" i="4" s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5" i="3"/>
  <c r="G11" i="3" l="1"/>
  <c r="H11" i="3"/>
  <c r="H10" i="3"/>
  <c r="G10" i="3"/>
  <c r="H9" i="3"/>
  <c r="G9" i="3"/>
  <c r="G8" i="3"/>
  <c r="H8" i="3"/>
  <c r="H26" i="5"/>
  <c r="G26" i="5"/>
  <c r="G49" i="5"/>
  <c r="H49" i="5"/>
  <c r="G20" i="5"/>
  <c r="H20" i="5"/>
  <c r="G19" i="5"/>
  <c r="H19" i="5"/>
  <c r="G27" i="5"/>
  <c r="H27" i="5"/>
  <c r="G26" i="3"/>
  <c r="H26" i="3"/>
  <c r="G49" i="3"/>
  <c r="H49" i="3"/>
  <c r="G25" i="3"/>
  <c r="H25" i="3"/>
  <c r="G24" i="3"/>
  <c r="H24" i="3"/>
  <c r="G50" i="3"/>
  <c r="H50" i="3"/>
  <c r="G20" i="3"/>
  <c r="H20" i="3"/>
  <c r="H19" i="3"/>
  <c r="G19" i="3"/>
  <c r="G64" i="5"/>
  <c r="H64" i="5"/>
  <c r="H23" i="3"/>
  <c r="G23" i="3"/>
  <c r="G22" i="3"/>
  <c r="H22" i="3"/>
  <c r="G21" i="3"/>
  <c r="H21" i="3"/>
  <c r="G18" i="3"/>
  <c r="H18" i="3"/>
  <c r="G17" i="3"/>
  <c r="H17" i="3"/>
  <c r="G47" i="5"/>
  <c r="H47" i="5"/>
  <c r="G46" i="5"/>
  <c r="H46" i="5"/>
  <c r="G45" i="5"/>
  <c r="H45" i="5"/>
  <c r="G44" i="5"/>
  <c r="H44" i="5"/>
  <c r="G6" i="5"/>
  <c r="H6" i="5"/>
  <c r="G65" i="5"/>
  <c r="H65" i="5"/>
  <c r="G68" i="3"/>
  <c r="H68" i="3"/>
  <c r="G61" i="3"/>
  <c r="H61" i="3"/>
  <c r="G67" i="3"/>
  <c r="H67" i="3"/>
  <c r="G66" i="3"/>
  <c r="H66" i="3"/>
  <c r="G64" i="3"/>
  <c r="H64" i="3"/>
  <c r="H65" i="3"/>
  <c r="G65" i="3"/>
  <c r="G63" i="3"/>
  <c r="H63" i="3"/>
  <c r="G62" i="3"/>
  <c r="H62" i="3"/>
  <c r="G60" i="3"/>
  <c r="H60" i="3"/>
  <c r="G53" i="3"/>
  <c r="H53" i="3"/>
  <c r="G52" i="3"/>
  <c r="H52" i="3"/>
  <c r="G57" i="3"/>
  <c r="H57" i="3"/>
  <c r="G58" i="3"/>
  <c r="H58" i="3"/>
  <c r="G56" i="3"/>
  <c r="H56" i="3"/>
  <c r="G7" i="3"/>
  <c r="H7" i="3"/>
  <c r="G6" i="3"/>
  <c r="H6" i="3"/>
  <c r="G54" i="3"/>
  <c r="H54" i="3"/>
  <c r="G51" i="3"/>
  <c r="H51" i="3"/>
  <c r="H33" i="5"/>
  <c r="G33" i="5"/>
  <c r="G32" i="5"/>
  <c r="H32" i="5"/>
  <c r="G9" i="5"/>
  <c r="H9" i="5"/>
  <c r="G46" i="3"/>
  <c r="H46" i="3"/>
  <c r="G45" i="3"/>
  <c r="H45" i="3"/>
  <c r="G24" i="5"/>
  <c r="H24" i="5"/>
  <c r="H53" i="5"/>
  <c r="G53" i="5"/>
  <c r="G37" i="5"/>
  <c r="H37" i="5"/>
  <c r="H23" i="5"/>
  <c r="G23" i="5"/>
  <c r="G54" i="5"/>
  <c r="H54" i="5"/>
  <c r="G10" i="5"/>
  <c r="H10" i="5"/>
  <c r="G22" i="5"/>
  <c r="H22" i="5"/>
  <c r="G50" i="5"/>
  <c r="H50" i="5"/>
  <c r="G42" i="3"/>
  <c r="H42" i="3"/>
  <c r="G52" i="5"/>
  <c r="H52" i="5"/>
  <c r="G21" i="5"/>
  <c r="H21" i="5"/>
  <c r="G62" i="5"/>
  <c r="H62" i="5"/>
  <c r="H34" i="5"/>
  <c r="G34" i="5"/>
  <c r="G8" i="5"/>
  <c r="H8" i="5"/>
  <c r="G38" i="5"/>
  <c r="H38" i="5"/>
  <c r="G7" i="5"/>
  <c r="H7" i="5"/>
  <c r="G35" i="5"/>
  <c r="H35" i="5"/>
  <c r="G15" i="5"/>
  <c r="H15" i="5"/>
  <c r="H66" i="5"/>
  <c r="G66" i="5"/>
  <c r="G61" i="5"/>
  <c r="H61" i="5"/>
  <c r="H60" i="5"/>
  <c r="G60" i="5"/>
  <c r="G18" i="5"/>
  <c r="H18" i="5"/>
  <c r="H16" i="5"/>
  <c r="G16" i="5"/>
  <c r="G36" i="5"/>
  <c r="H36" i="5"/>
  <c r="G31" i="3"/>
  <c r="H31" i="3"/>
  <c r="G59" i="5"/>
  <c r="H59" i="5"/>
  <c r="G31" i="5"/>
  <c r="H31" i="5"/>
  <c r="G17" i="5"/>
  <c r="H17" i="5"/>
  <c r="G51" i="5"/>
  <c r="H51" i="5"/>
  <c r="G14" i="5"/>
  <c r="H14" i="5"/>
  <c r="G13" i="5"/>
  <c r="H13" i="5"/>
  <c r="G58" i="5"/>
  <c r="H58" i="5"/>
  <c r="H30" i="5"/>
  <c r="G30" i="5"/>
  <c r="G57" i="5"/>
  <c r="H57" i="5"/>
  <c r="G29" i="5"/>
  <c r="H29" i="5"/>
  <c r="G40" i="5"/>
  <c r="H40" i="5"/>
  <c r="G56" i="5"/>
  <c r="H56" i="5"/>
  <c r="G42" i="5"/>
  <c r="H42" i="5"/>
  <c r="H12" i="5"/>
  <c r="G12" i="5"/>
  <c r="G39" i="5"/>
  <c r="H39" i="5"/>
  <c r="G55" i="5"/>
  <c r="H55" i="5"/>
  <c r="H41" i="5"/>
  <c r="G41" i="5"/>
  <c r="G25" i="5"/>
  <c r="H25" i="5"/>
  <c r="G11" i="5"/>
  <c r="H11" i="5"/>
  <c r="G28" i="5"/>
  <c r="H28" i="5"/>
  <c r="G28" i="3"/>
  <c r="H28" i="3"/>
  <c r="G29" i="3"/>
  <c r="H29" i="3"/>
  <c r="G27" i="3"/>
  <c r="H27" i="3"/>
  <c r="G5" i="3"/>
  <c r="H5" i="3"/>
  <c r="G67" i="5"/>
  <c r="H67" i="5"/>
  <c r="G12" i="3"/>
  <c r="H12" i="3"/>
  <c r="G15" i="3"/>
  <c r="H15" i="3"/>
  <c r="G14" i="3"/>
  <c r="H14" i="3"/>
  <c r="G13" i="3"/>
  <c r="H13" i="3"/>
  <c r="H5" i="5"/>
  <c r="G5" i="5"/>
  <c r="G10" i="4"/>
  <c r="H10" i="4"/>
  <c r="G9" i="4"/>
  <c r="H9" i="4"/>
  <c r="G7" i="4"/>
  <c r="H7" i="4"/>
  <c r="G8" i="4"/>
  <c r="H8" i="4"/>
  <c r="G6" i="4"/>
  <c r="H6" i="4"/>
  <c r="H44" i="3"/>
  <c r="G44" i="3"/>
  <c r="G41" i="3"/>
  <c r="H41" i="3"/>
  <c r="G40" i="3"/>
  <c r="H40" i="3"/>
  <c r="H39" i="3"/>
  <c r="G39" i="3"/>
  <c r="G48" i="3"/>
  <c r="H48" i="3"/>
  <c r="H38" i="3"/>
  <c r="G38" i="3"/>
  <c r="G37" i="3"/>
  <c r="H37" i="3"/>
  <c r="G47" i="3"/>
  <c r="H47" i="3"/>
  <c r="G35" i="3"/>
  <c r="H35" i="3"/>
  <c r="H34" i="3"/>
  <c r="G34" i="3"/>
  <c r="G33" i="3"/>
  <c r="H33" i="3"/>
  <c r="H32" i="3"/>
  <c r="G32" i="3"/>
  <c r="H43" i="3"/>
  <c r="G43" i="3"/>
  <c r="G36" i="3"/>
  <c r="H36" i="3"/>
  <c r="G69" i="3"/>
  <c r="H69" i="3"/>
  <c r="G30" i="3"/>
  <c r="H30" i="3"/>
  <c r="G70" i="5"/>
  <c r="H70" i="5"/>
  <c r="G69" i="5"/>
  <c r="H69" i="5"/>
  <c r="G68" i="5"/>
  <c r="H68" i="5"/>
  <c r="G74" i="5"/>
  <c r="H74" i="5"/>
  <c r="H73" i="5"/>
  <c r="G73" i="5"/>
  <c r="H72" i="5"/>
  <c r="G72" i="5"/>
  <c r="G71" i="5"/>
  <c r="H71" i="5"/>
  <c r="G75" i="5"/>
  <c r="H75" i="5"/>
  <c r="J91" i="7"/>
  <c r="J148" i="7"/>
  <c r="J199" i="7"/>
  <c r="J51" i="7"/>
  <c r="F47" i="4"/>
  <c r="F8" i="8" s="1"/>
  <c r="I148" i="7"/>
  <c r="G16" i="8" s="1"/>
  <c r="E16" i="8"/>
  <c r="I51" i="7"/>
  <c r="G14" i="8" s="1"/>
  <c r="K6" i="7"/>
  <c r="E14" i="8" s="1"/>
  <c r="F6" i="8"/>
  <c r="I91" i="7"/>
  <c r="G15" i="8" s="1"/>
  <c r="E15" i="8"/>
  <c r="K154" i="7"/>
  <c r="E17" i="8" s="1"/>
  <c r="I199" i="7"/>
  <c r="G17" i="8" s="1"/>
  <c r="F70" i="3"/>
  <c r="F9" i="8" s="1"/>
  <c r="E63" i="5"/>
  <c r="G5" i="4"/>
  <c r="G18" i="8" l="1"/>
  <c r="G63" i="5"/>
  <c r="G76" i="5" s="1"/>
  <c r="G7" i="8" s="1"/>
  <c r="H63" i="5"/>
  <c r="H76" i="5" s="1"/>
  <c r="E8" i="8"/>
  <c r="G6" i="8"/>
  <c r="E9" i="8"/>
  <c r="E18" i="8"/>
  <c r="H47" i="4"/>
  <c r="F76" i="5"/>
  <c r="F7" i="8" s="1"/>
  <c r="F10" i="8" s="1"/>
  <c r="H70" i="3"/>
  <c r="G47" i="4"/>
  <c r="G8" i="8" s="1"/>
  <c r="G70" i="3"/>
  <c r="G9" i="8" s="1"/>
  <c r="G10" i="8" l="1"/>
  <c r="E6" i="8"/>
  <c r="E7" i="8"/>
  <c r="E10" i="8" l="1"/>
</calcChain>
</file>

<file path=xl/sharedStrings.xml><?xml version="1.0" encoding="utf-8"?>
<sst xmlns="http://schemas.openxmlformats.org/spreadsheetml/2006/main" count="3614" uniqueCount="1265">
  <si>
    <t>Ward</t>
  </si>
  <si>
    <t>Start Time</t>
  </si>
  <si>
    <t>End Time</t>
  </si>
  <si>
    <t>Active Hours</t>
  </si>
  <si>
    <t>Total Distance (KM)</t>
  </si>
  <si>
    <t>Average Speed (KM/h)</t>
  </si>
  <si>
    <t>Ward 98 - Ward - 98</t>
  </si>
  <si>
    <t>RJ14GU7083</t>
  </si>
  <si>
    <t>RJ47GA7287</t>
  </si>
  <si>
    <t>Ward 132 - Ward - 132</t>
  </si>
  <si>
    <t>Ward 85 - Ward - 85</t>
  </si>
  <si>
    <t>RJ47GA7281</t>
  </si>
  <si>
    <t>Ward 86 - Ward - 86</t>
  </si>
  <si>
    <t>Ward 76 - Ward - 76</t>
  </si>
  <si>
    <t>RJ47GA7183</t>
  </si>
  <si>
    <t>Ward 100 - Ward - 100</t>
  </si>
  <si>
    <t>RJ47GA7184</t>
  </si>
  <si>
    <t>RJ14GN8108</t>
  </si>
  <si>
    <t>RJ47GA7278</t>
  </si>
  <si>
    <t>RJ14GN7815</t>
  </si>
  <si>
    <t>RJ14GQ5273</t>
  </si>
  <si>
    <t>Ward 94 - Ward - 94</t>
  </si>
  <si>
    <t>RJ14GU7078</t>
  </si>
  <si>
    <t>Ward 92 - Ward - 92</t>
  </si>
  <si>
    <t>Ward 99 - Ward - 99</t>
  </si>
  <si>
    <t>RJ47GA7293</t>
  </si>
  <si>
    <t>RJ14GT8101</t>
  </si>
  <si>
    <t>Ward 80 - Ward - 80</t>
  </si>
  <si>
    <t>RJ14GN7664</t>
  </si>
  <si>
    <t>Ward 90 - Ward - 90</t>
  </si>
  <si>
    <t>RJ14GT8107</t>
  </si>
  <si>
    <t>Ward 87 - Ward - 87</t>
  </si>
  <si>
    <t>RJ14GN7681</t>
  </si>
  <si>
    <t>RJ14GT8823</t>
  </si>
  <si>
    <t>RJ14GT7555</t>
  </si>
  <si>
    <t>RJ14GQ5275</t>
  </si>
  <si>
    <t>SVE14888</t>
  </si>
  <si>
    <t>RJ14GN7689</t>
  </si>
  <si>
    <t>Ward 81 - Ward - 81</t>
  </si>
  <si>
    <t>RJ14GN7670</t>
  </si>
  <si>
    <t>RJ47GA7331</t>
  </si>
  <si>
    <t>Ward 84 - Ward - 84</t>
  </si>
  <si>
    <t>Ward 77 - Ward - 77</t>
  </si>
  <si>
    <t>RJ14GN7823</t>
  </si>
  <si>
    <t>RJ47GA7173SW</t>
  </si>
  <si>
    <t>RJ47GA7341</t>
  </si>
  <si>
    <t>Ward 82 - Ward - 82</t>
  </si>
  <si>
    <t>RJ47GA7270</t>
  </si>
  <si>
    <t>Ward 97 - Ward - 97</t>
  </si>
  <si>
    <t>RJ14GT8112</t>
  </si>
  <si>
    <t>RJ14GN5034</t>
  </si>
  <si>
    <t>RJ14GN7810</t>
  </si>
  <si>
    <t>RJ14GN8106</t>
  </si>
  <si>
    <t>RJ47GA7193</t>
  </si>
  <si>
    <t>RJ14GQ5271</t>
  </si>
  <si>
    <t>Ward 95 - Ward - 95</t>
  </si>
  <si>
    <t>RJ14GT9473</t>
  </si>
  <si>
    <t>RJ14GN7666</t>
  </si>
  <si>
    <t>RJ14GN8489</t>
  </si>
  <si>
    <t>RJ14GQ5294</t>
  </si>
  <si>
    <t>RJ14GT9465</t>
  </si>
  <si>
    <t>RJ14GN7685</t>
  </si>
  <si>
    <t>RJ14GT8826</t>
  </si>
  <si>
    <t>RJ47GA7235</t>
  </si>
  <si>
    <t>RJ47GA7289</t>
  </si>
  <si>
    <t>RJ47GA7292</t>
  </si>
  <si>
    <t>Ward 88 - Ward - 88</t>
  </si>
  <si>
    <t>Ward 78 - Ward - 78</t>
  </si>
  <si>
    <t>RJ14GU7080</t>
  </si>
  <si>
    <t>RJ47GA7236</t>
  </si>
  <si>
    <t>RJ14GN7814</t>
  </si>
  <si>
    <t>Ward 79 - Ward - 79</t>
  </si>
  <si>
    <t>RJ14GN7694</t>
  </si>
  <si>
    <t>Ward 89 - Ward - 89</t>
  </si>
  <si>
    <t>Ward 91 - Ward - 91</t>
  </si>
  <si>
    <t>RJ14GN7824</t>
  </si>
  <si>
    <t>RJ14GT9452</t>
  </si>
  <si>
    <t>RJ14GQ5296</t>
  </si>
  <si>
    <t>RJ47GA7333</t>
  </si>
  <si>
    <t>RJ47GA7179</t>
  </si>
  <si>
    <t>RJ14GN4991</t>
  </si>
  <si>
    <t>RJ14GN7699</t>
  </si>
  <si>
    <t>Ward 83 - Ward - 83</t>
  </si>
  <si>
    <t>RJ47GA7227</t>
  </si>
  <si>
    <t>RJ14GT8849</t>
  </si>
  <si>
    <t>RJ14GT8920</t>
  </si>
  <si>
    <t>RJ14GN7684</t>
  </si>
  <si>
    <t>RJ14GT8126</t>
  </si>
  <si>
    <t>RJ14GQ5290</t>
  </si>
  <si>
    <t>RJ14GN7822</t>
  </si>
  <si>
    <t>RJ14GT8296</t>
  </si>
  <si>
    <t>RJ14GN7663</t>
  </si>
  <si>
    <t>RJ14GN7803</t>
  </si>
  <si>
    <t>RJ14GT8974</t>
  </si>
  <si>
    <t>RJ14GT9472</t>
  </si>
  <si>
    <t>RJ14GT9039</t>
  </si>
  <si>
    <t>RJ14GT9024</t>
  </si>
  <si>
    <t>RJ47GA6538</t>
  </si>
  <si>
    <t>RJ14GT9480</t>
  </si>
  <si>
    <t>RJ14GT9033</t>
  </si>
  <si>
    <t>RJ47GA7243</t>
  </si>
  <si>
    <t>Ward 96 - Ward - 96</t>
  </si>
  <si>
    <t>RJ47GA7242</t>
  </si>
  <si>
    <t>RJ14GT8921</t>
  </si>
  <si>
    <t>RJ47GA6531</t>
  </si>
  <si>
    <t>RJ14GT8110</t>
  </si>
  <si>
    <t>RJ47GA6537</t>
  </si>
  <si>
    <t>RJ14GT8165</t>
  </si>
  <si>
    <t>RJ14GN7672</t>
  </si>
  <si>
    <t>RJ14GT8161</t>
  </si>
  <si>
    <t>RJ14GT8932</t>
  </si>
  <si>
    <t>RJ47GA7335</t>
  </si>
  <si>
    <t>RJ14GT9483</t>
  </si>
  <si>
    <t>SVF19531</t>
  </si>
  <si>
    <t>RJ14GT9479</t>
  </si>
  <si>
    <t>RJ14GT8262</t>
  </si>
  <si>
    <t>RJ14GN7797</t>
  </si>
  <si>
    <t>RJ14GT9027</t>
  </si>
  <si>
    <t>RJ47GA7198</t>
  </si>
  <si>
    <t>RJ14GT8303</t>
  </si>
  <si>
    <t>RJ14GN8468</t>
  </si>
  <si>
    <t>RJ47GA7178</t>
  </si>
  <si>
    <t>150-4</t>
  </si>
  <si>
    <t>MORNING_RJ47GA7237</t>
  </si>
  <si>
    <t>MORNING_ RJ14GQ5275</t>
  </si>
  <si>
    <t>MORNING_RJ14GQ5294</t>
  </si>
  <si>
    <t>150-5</t>
  </si>
  <si>
    <t>MORNING_RJ14GQ5290</t>
  </si>
  <si>
    <t>150-3</t>
  </si>
  <si>
    <t>150_2</t>
  </si>
  <si>
    <t>150-7</t>
  </si>
  <si>
    <t>150_1</t>
  </si>
  <si>
    <t>150-8</t>
  </si>
  <si>
    <t>MORNING_RJ14GQ5288</t>
  </si>
  <si>
    <t>MORNING_RJ47GA7183</t>
  </si>
  <si>
    <t>150-6</t>
  </si>
  <si>
    <t>MORNING_ RJ14GQ5271</t>
  </si>
  <si>
    <t>MORNING_RJ14GN8110</t>
  </si>
  <si>
    <t>COVERED %</t>
  </si>
  <si>
    <t>VEHICLE REG. NO.</t>
  </si>
  <si>
    <t>ADARSH NAGAR ZONE</t>
  </si>
  <si>
    <t>AMRUT ENTERPRISES D2D HOPPERS</t>
  </si>
  <si>
    <t>SR NO.</t>
  </si>
  <si>
    <t>REMARKS</t>
  </si>
  <si>
    <t>AVERAGE</t>
  </si>
  <si>
    <t>RJ14GT8853</t>
  </si>
  <si>
    <t>MORNING_RJ47GA7242</t>
  </si>
  <si>
    <t>MORNING_RJ47GA7293</t>
  </si>
  <si>
    <t>MORNING_RJ47GA7227</t>
  </si>
  <si>
    <t>MORNING_RJ47GA7188</t>
  </si>
  <si>
    <t>MORNING_RJ47GA7177</t>
  </si>
  <si>
    <t>MORNING_RJ47GA7236</t>
  </si>
  <si>
    <t>MORNING_RJ47GA7170</t>
  </si>
  <si>
    <t>MORNING_RJ47GA7198</t>
  </si>
  <si>
    <t>MORNING_RJ47GA7279</t>
  </si>
  <si>
    <t>MORNING_RJ47GA7200</t>
  </si>
  <si>
    <t>MORNING_RJ47GA7289</t>
  </si>
  <si>
    <t>MORNING_RJ47GA7335</t>
  </si>
  <si>
    <t>MORNING_RJ47GA7282</t>
  </si>
  <si>
    <t>MORNING_RJ47GA7191</t>
  </si>
  <si>
    <t>MORNING_RJ47GA7274</t>
  </si>
  <si>
    <t>MORNING_RJ47GA7243</t>
  </si>
  <si>
    <t>MORNING_RJ47GA7178</t>
  </si>
  <si>
    <t>MORNING_RJ47GA7180</t>
  </si>
  <si>
    <t>MORNING_RJ47GA7181</t>
  </si>
  <si>
    <t>MORNING_RJ47GA7331</t>
  </si>
  <si>
    <t>MORNING_RJ47GA7342</t>
  </si>
  <si>
    <t>MORNING_RJ47GA7270</t>
  </si>
  <si>
    <t>MORNING_RJ47GA7192</t>
  </si>
  <si>
    <t>MORNING_RJ47GA7193</t>
  </si>
  <si>
    <t>MORNING_RJ47GA7182</t>
  </si>
  <si>
    <t>MORNING_RJ47GA7176</t>
  </si>
  <si>
    <t>MORNING_RJ47GA7174</t>
  </si>
  <si>
    <t>MORNING_RJ47GA7186</t>
  </si>
  <si>
    <t>MORNING_RJ47GA7283</t>
  </si>
  <si>
    <t>MORNING_RJ47GA7292</t>
  </si>
  <si>
    <t>MORNING_RJ47GA7271</t>
  </si>
  <si>
    <t>MORNING_RJ47GA7285</t>
  </si>
  <si>
    <t>MORNING_RJ47GA7235</t>
  </si>
  <si>
    <t>MORNING_ RJ47GA7179</t>
  </si>
  <si>
    <t>MORNING_ RJ47GA7228</t>
  </si>
  <si>
    <t>MORNING_RJ47GA7185</t>
  </si>
  <si>
    <t>MORNING_RJ47GA7219</t>
  </si>
  <si>
    <t>MORNING_RJ47GA7333</t>
  </si>
  <si>
    <t>MORNING_RJ47GA7217</t>
  </si>
  <si>
    <t>MORNING_ RJ14GA7297</t>
  </si>
  <si>
    <t>MORNING_RJ47GA7295</t>
  </si>
  <si>
    <t>MORNING_RJ47GA7290</t>
  </si>
  <si>
    <t>MORNING_RJ47GA7338</t>
  </si>
  <si>
    <t>MORNING_RJ47GA7294</t>
  </si>
  <si>
    <t>MORNING_RJ47GA7334</t>
  </si>
  <si>
    <t>MORNING_RJ47GA7287</t>
  </si>
  <si>
    <t>MORNING_RJ47GA7278</t>
  </si>
  <si>
    <t>MORNING_RJ47GA7244</t>
  </si>
  <si>
    <t>MORNING_RJ47GA7275</t>
  </si>
  <si>
    <t>MORNING_RJ47GA7218</t>
  </si>
  <si>
    <t>MORNING_RJ47GA7339</t>
  </si>
  <si>
    <t>MORNING_RJ47GA7238</t>
  </si>
  <si>
    <t>MORNING_RJ47GA7341</t>
  </si>
  <si>
    <t>MORNING_RJ47GA7184</t>
  </si>
  <si>
    <t>MORNING_RJ47GA7190</t>
  </si>
  <si>
    <t>MORNING_RJ14GN8107</t>
  </si>
  <si>
    <t>MORNING_RJ14GN8108</t>
  </si>
  <si>
    <t>MORNING_RJ14GN5224</t>
  </si>
  <si>
    <t>MORNING_RJ14GN7682</t>
  </si>
  <si>
    <t>MORNING_RJ14GN8109</t>
  </si>
  <si>
    <t>MORNING_RJ14GT9472</t>
  </si>
  <si>
    <t>MORNING_ RJ14GT8972</t>
  </si>
  <si>
    <t>MORNING_RJ14GT9029</t>
  </si>
  <si>
    <t>MORNING_RJ14GN7684</t>
  </si>
  <si>
    <t>MORNING_RJ14GT8920</t>
  </si>
  <si>
    <t>MORNING_RJ14GN7687</t>
  </si>
  <si>
    <t>MORNING_RJ14GN7673</t>
  </si>
  <si>
    <t>MORNING_RJ14GN7799</t>
  </si>
  <si>
    <t>MORNING_RJ14GQ5291</t>
  </si>
  <si>
    <t>MORNING_RJ14GN7807</t>
  </si>
  <si>
    <t>MORNING_RJ14GQ5298</t>
  </si>
  <si>
    <t>MORNING_RJ14GN7685</t>
  </si>
  <si>
    <t>MORNING_RJ14GN7678</t>
  </si>
  <si>
    <t>MORNING_RJ14GN7668</t>
  </si>
  <si>
    <t>MORNING_ RJ14GT8932</t>
  </si>
  <si>
    <t>MORNING_RJ14GN7809</t>
  </si>
  <si>
    <t>MORNING_RJ14GN5199</t>
  </si>
  <si>
    <t>MORNING_ RJ14GT9042</t>
  </si>
  <si>
    <t>MORNING_RJ14GN7675</t>
  </si>
  <si>
    <t>MORNING_SVE14888</t>
  </si>
  <si>
    <t>MORNING_RJ14GT9483</t>
  </si>
  <si>
    <t>MORNING_ RJ14GT9480</t>
  </si>
  <si>
    <t>MORNING_RJ14GQ5277</t>
  </si>
  <si>
    <t>MORNING_RJ14GN8489</t>
  </si>
  <si>
    <t>MORNING_RJ14GN7681</t>
  </si>
  <si>
    <t>MORNING_RJ14GN7664</t>
  </si>
  <si>
    <t>MORNING_RJ14GN7821</t>
  </si>
  <si>
    <t>MORNING_RJ14GN7815</t>
  </si>
  <si>
    <t>MORNING_ RJ14GT9452</t>
  </si>
  <si>
    <t>MORNING_ RJ14GT9024</t>
  </si>
  <si>
    <t>MORNING_ RJ14GT9048</t>
  </si>
  <si>
    <t>MORNING_RJ14GN7823</t>
  </si>
  <si>
    <t>MORNING_RJ14GN7824</t>
  </si>
  <si>
    <t>MORNING_ RJ14GT9486</t>
  </si>
  <si>
    <t>MORNING_RJ14GN7698</t>
  </si>
  <si>
    <t>MORNING_RJ14GT8853</t>
  </si>
  <si>
    <t>MORNING_ RJ14GT8849</t>
  </si>
  <si>
    <t>MORNING_RJ14GN7820</t>
  </si>
  <si>
    <t>MORNING_RJ14GN7802</t>
  </si>
  <si>
    <t>MORNING_RJ14GN7688</t>
  </si>
  <si>
    <t>MORNING_RJ14GN8473</t>
  </si>
  <si>
    <t>MORNING_RJ14GN7695</t>
  </si>
  <si>
    <t>MORNING_RJ14GN8113</t>
  </si>
  <si>
    <t>MORNING_RJ14GN5032</t>
  </si>
  <si>
    <t>MORNING_RJ14GN7814</t>
  </si>
  <si>
    <t>MORNING_RJ14GN7805</t>
  </si>
  <si>
    <t>MORNING_RJ14GN7800</t>
  </si>
  <si>
    <t>MORNING_RJ14GQ5300</t>
  </si>
  <si>
    <t>MORNING_RJ14GN8112</t>
  </si>
  <si>
    <t>MORNING_ RJ14GT8966</t>
  </si>
  <si>
    <t>MORNING_ RJ14GT9462</t>
  </si>
  <si>
    <t>MORNING_ RJ14GT8162</t>
  </si>
  <si>
    <t>MORNING_RJ14GN7696</t>
  </si>
  <si>
    <t>MORNING_RJ14GN7822</t>
  </si>
  <si>
    <t>MORNING_RJ14GN7697</t>
  </si>
  <si>
    <t>MORNING_ RJ14GT9039</t>
  </si>
  <si>
    <t>MORNING_RJ14GN7797</t>
  </si>
  <si>
    <t>MORNING_RJ14GN7819</t>
  </si>
  <si>
    <t>MORNING_ RJ14GT8099</t>
  </si>
  <si>
    <t>MORNING_RJ14GN7795</t>
  </si>
  <si>
    <t>MORNING_ RJ14GT9033</t>
  </si>
  <si>
    <t>MORNING_ RJ14GT8910</t>
  </si>
  <si>
    <t>MORNING_RJ14GN7803</t>
  </si>
  <si>
    <t>MORNING_RJ14GN7810</t>
  </si>
  <si>
    <t>MORNING_RJ14GN7662</t>
  </si>
  <si>
    <t>MORNING_RJ14GT8922</t>
  </si>
  <si>
    <t>MORNING_ RJ14GT9479</t>
  </si>
  <si>
    <t>MORNING_RJ14GN7686</t>
  </si>
  <si>
    <t>MORNING_ RJ14GT8974</t>
  </si>
  <si>
    <t>MORNING_ RJ14GT8923</t>
  </si>
  <si>
    <t>MORNING_ RJ14GT8161</t>
  </si>
  <si>
    <t>MORNING_RJ14GT8960</t>
  </si>
  <si>
    <t>MORNING_RJ14GT9027</t>
  </si>
  <si>
    <t>MORNING_ RJ14GT9469</t>
  </si>
  <si>
    <t>MORNING_ RJ14GT8976</t>
  </si>
  <si>
    <t>MORNING_ RJ14GT8165</t>
  </si>
  <si>
    <t>MORNING_RJ14GN7663</t>
  </si>
  <si>
    <t>MORNING_ RJ14GT9473</t>
  </si>
  <si>
    <t>MORNING_RJ14GN7816</t>
  </si>
  <si>
    <t>MORNING_RJ14GN8106</t>
  </si>
  <si>
    <t>MORNING_RJ14GN7811</t>
  </si>
  <si>
    <t>MORNING_RJ14GT8927</t>
  </si>
  <si>
    <t>MORNING_RJ14GN7666</t>
  </si>
  <si>
    <t>MORNING_RJ14GT8840</t>
  </si>
  <si>
    <t>MORNING_RJ14GN7804</t>
  </si>
  <si>
    <t>MORNING_ RJ14GT8158</t>
  </si>
  <si>
    <t>MORNING_RJ14GT8921</t>
  </si>
  <si>
    <t>MORNING_RJ14GT9475</t>
  </si>
  <si>
    <t>MORNING_RJ14GN7699</t>
  </si>
  <si>
    <t>MORNING_RJ14GT9038</t>
  </si>
  <si>
    <t>MORNING_RJ14GT9461</t>
  </si>
  <si>
    <t>MORNING_RJ14GQ5296</t>
  </si>
  <si>
    <t>MORNING_RJ14GN7808</t>
  </si>
  <si>
    <t>MORNING_RJ14GN7694</t>
  </si>
  <si>
    <t>MORNING_RJ14GQ5280</t>
  </si>
  <si>
    <t>MORNING_RJ14GN7689</t>
  </si>
  <si>
    <t>MORNING_RJ14GN7667</t>
  </si>
  <si>
    <t>MORNING_ RJ14GT9465</t>
  </si>
  <si>
    <t>MORNING_RJ14GN7661</t>
  </si>
  <si>
    <t>MORNING_RJ14GN7680</t>
  </si>
  <si>
    <t>MORNING_ RJ14GT9470</t>
  </si>
  <si>
    <t>MORNING_ RJ14GT8926</t>
  </si>
  <si>
    <t>MORNING_RJ14GN7683</t>
  </si>
  <si>
    <t>MORNING_RJ14GN7672</t>
  </si>
  <si>
    <t>MORNING_RJ14GN7670</t>
  </si>
  <si>
    <t xml:space="preserve">KISHANPOLE ZONE </t>
  </si>
  <si>
    <t>WeVOIS LABS PVT LTD. D2D HOPPERS</t>
  </si>
  <si>
    <t>TOTAL DISTANCE</t>
  </si>
  <si>
    <t>Ward 55 - Ward - 55</t>
  </si>
  <si>
    <t>Ward 56 - Ward - 56</t>
  </si>
  <si>
    <t>Ward 57 - Ward - 57</t>
  </si>
  <si>
    <t>Ward 58 - Ward - 58</t>
  </si>
  <si>
    <t>Ward 59 - Ward - 59</t>
  </si>
  <si>
    <t>Ward 60 - Ward - 60</t>
  </si>
  <si>
    <t>Ward 61 - Ward - 61</t>
  </si>
  <si>
    <t>Ward 62 - Ward - 62</t>
  </si>
  <si>
    <t>Ward 63 - Ward - 63</t>
  </si>
  <si>
    <t>Ward 64 - Ward - 64</t>
  </si>
  <si>
    <t>Ward 65 - Ward - 65</t>
  </si>
  <si>
    <t>Ward 66 - Ward - 66</t>
  </si>
  <si>
    <t>Ward 67 - Ward - 67</t>
  </si>
  <si>
    <t>Ward 68 - Ward - 68</t>
  </si>
  <si>
    <t>Ward 69 - Ward - 69</t>
  </si>
  <si>
    <t>Ward 70 - Ward - 70</t>
  </si>
  <si>
    <t>Ward 71 - Ward - 71</t>
  </si>
  <si>
    <t>Ward 72 - Ward - 72</t>
  </si>
  <si>
    <t>Ward 73 - Ward - 73</t>
  </si>
  <si>
    <t>Ward 74 - Ward - 74</t>
  </si>
  <si>
    <t>Ward 75 - Ward - 75</t>
  </si>
  <si>
    <t xml:space="preserve">CIVIL LINES ZONE </t>
  </si>
  <si>
    <t>WE VOIS LABS PVT LTD D2D HOPPER REPORT</t>
  </si>
  <si>
    <t>REMARK</t>
  </si>
  <si>
    <t>Ward 31 - Ward - 31</t>
  </si>
  <si>
    <t>Ward 32 - Ward - 32</t>
  </si>
  <si>
    <t>Ward 33 - Ward - 33</t>
  </si>
  <si>
    <t>Ward 34 - Ward - 34</t>
  </si>
  <si>
    <t>Ward 35 - Ward - 35</t>
  </si>
  <si>
    <t>Ward 36 - Ward - 36</t>
  </si>
  <si>
    <t>Ward 37 - Ward - 37</t>
  </si>
  <si>
    <t>Ward 38 - Ward - 38</t>
  </si>
  <si>
    <t>Ward 39 - Ward - 39</t>
  </si>
  <si>
    <t>Ward 40 - Ward - 40</t>
  </si>
  <si>
    <t>Ward 41 - Ward - 41</t>
  </si>
  <si>
    <t>Ward 42 - Ward - 42</t>
  </si>
  <si>
    <t>Ward 43 - Ward - 43</t>
  </si>
  <si>
    <t>Ward 44 - Ward - 44</t>
  </si>
  <si>
    <t>Ward 45 - Ward - 45</t>
  </si>
  <si>
    <t>Ward 46 - Ward - 46</t>
  </si>
  <si>
    <t>Ward 47 - Ward - 47</t>
  </si>
  <si>
    <t>Ward 48 - Ward - 48</t>
  </si>
  <si>
    <t>Ward 49 - Ward - 49</t>
  </si>
  <si>
    <t>Ward 51 - Ward - 51</t>
  </si>
  <si>
    <t>Ward 52 - Ward - 52</t>
  </si>
  <si>
    <t>Ward 53 - Ward - 53</t>
  </si>
  <si>
    <t>Ward 54 - Ward - 54</t>
  </si>
  <si>
    <t xml:space="preserve">HAWAMAHAL - AMER ZONE </t>
  </si>
  <si>
    <t>URBAN ENVIRO WASTE MANAGEMENT D2D HOPPERS</t>
  </si>
  <si>
    <t>Ward 1 - Ward - 1</t>
  </si>
  <si>
    <t>Ward 2 - Ward - 2</t>
  </si>
  <si>
    <t>Ward 3 - Ward - 3</t>
  </si>
  <si>
    <t>Ward 4 - Ward - 4</t>
  </si>
  <si>
    <t>Ward 5 - Ward - 5</t>
  </si>
  <si>
    <t>Ward 6 - Ward - 6</t>
  </si>
  <si>
    <t>Ward 7 - Ward - 7</t>
  </si>
  <si>
    <t>Ward 8 - Ward - 8</t>
  </si>
  <si>
    <t>Ward 9 - Ward - 9</t>
  </si>
  <si>
    <t>Ward 10 - Ward - 10</t>
  </si>
  <si>
    <t>Ward 11 - Ward - 11</t>
  </si>
  <si>
    <t>Ward 12 - Ward - 12</t>
  </si>
  <si>
    <t>Ward 13 - Ward - 13</t>
  </si>
  <si>
    <t>Ward 14 - Ward - 14</t>
  </si>
  <si>
    <t>Ward 15 - Ward - 15</t>
  </si>
  <si>
    <t>Ward 16 - Ward - 16</t>
  </si>
  <si>
    <t>Ward 17 - Ward - 17</t>
  </si>
  <si>
    <t>Ward 18 - Ward - 18</t>
  </si>
  <si>
    <t>Ward 19 - Ward - 19</t>
  </si>
  <si>
    <t>Ward 20 - Ward - 20</t>
  </si>
  <si>
    <t>Ward 21 - Ward - 21</t>
  </si>
  <si>
    <t>Ward 22 - Ward - 22</t>
  </si>
  <si>
    <t>Ward 23 - Ward - 23</t>
  </si>
  <si>
    <t>Ward 24 - Ward - 24</t>
  </si>
  <si>
    <t>GPS ISSUE</t>
  </si>
  <si>
    <t>Ward 25 - Ward - 25</t>
  </si>
  <si>
    <t>Ward 26 - Ward - 26</t>
  </si>
  <si>
    <t>Ward 27 - Ward - 27</t>
  </si>
  <si>
    <t>Ward 28 - Ward - 28</t>
  </si>
  <si>
    <t>Ward 29 - Ward - 29</t>
  </si>
  <si>
    <t>Ward 30 - Ward - 30</t>
  </si>
  <si>
    <t>WARD 150 - WARD - 150</t>
  </si>
  <si>
    <t>WARD 30 - WARD - 30</t>
  </si>
  <si>
    <t>WARD 29 - WARD - 29</t>
  </si>
  <si>
    <t>WARD 28 - WARD - 28</t>
  </si>
  <si>
    <t>WARD 27 - WARD - 27</t>
  </si>
  <si>
    <t>WARD 26 - WARD - 26</t>
  </si>
  <si>
    <t>WARD 25 - WARD - 25</t>
  </si>
  <si>
    <t>WARD 24 - WARD - 24</t>
  </si>
  <si>
    <t>WARD 23 - WARD - 23</t>
  </si>
  <si>
    <t>WARD 22 - WARD - 22</t>
  </si>
  <si>
    <t>WARD 21 - WARD - 21</t>
  </si>
  <si>
    <t>WARD 20 - WARD - 20</t>
  </si>
  <si>
    <t>WARD 19 - WARD - 19</t>
  </si>
  <si>
    <t>WARD 18 - WARD - 18</t>
  </si>
  <si>
    <t>WARD 17 - WARD - 17</t>
  </si>
  <si>
    <t>WARD 16 - WARD - 16</t>
  </si>
  <si>
    <t>WARD 15 - WARD - 15</t>
  </si>
  <si>
    <t>WARD 14 - WARD - 14</t>
  </si>
  <si>
    <t>WARD 13 - WARD - 13</t>
  </si>
  <si>
    <t>WARD 12 - WARD - 12</t>
  </si>
  <si>
    <t>WARD 11 - WARD - 11</t>
  </si>
  <si>
    <t>WARD 10 - WARD - 10</t>
  </si>
  <si>
    <t>WARD 9 - WARD - 9</t>
  </si>
  <si>
    <t>WARD 8 - WARD - 8</t>
  </si>
  <si>
    <t>WARD 7 - WARD - 7</t>
  </si>
  <si>
    <t>WARD 6 - WARD - 6</t>
  </si>
  <si>
    <t>WARD 5 - WARD - 5</t>
  </si>
  <si>
    <t>WARD 4 - WARD - 4</t>
  </si>
  <si>
    <t>WARD 3 - WARD - 3</t>
  </si>
  <si>
    <t>WARD 2 - WARD - 2</t>
  </si>
  <si>
    <t>WARD 1 - WARD - 1</t>
  </si>
  <si>
    <t>WARD 31 - WARD - 31</t>
  </si>
  <si>
    <t>WARD 32 - WARD - 32</t>
  </si>
  <si>
    <t>WARD 33 - WARD - 33</t>
  </si>
  <si>
    <t>WARD 34 - WARD - 34</t>
  </si>
  <si>
    <t>WARD 35 - WARD - 35</t>
  </si>
  <si>
    <t>WARD 36 - WARD - 36</t>
  </si>
  <si>
    <t>WARD 37 - WARD - 37</t>
  </si>
  <si>
    <t>WARD 38 - WARD - 38</t>
  </si>
  <si>
    <t>WARD 39 - WARD - 39</t>
  </si>
  <si>
    <t>WARD 40 - WARD - 40</t>
  </si>
  <si>
    <t>WARD 41 - WARD - 41</t>
  </si>
  <si>
    <t>WARD 42 - WARD - 42</t>
  </si>
  <si>
    <t>WARD 43 - WARD - 43</t>
  </si>
  <si>
    <t>WARD 44 - WARD - 44</t>
  </si>
  <si>
    <t>WARD 45 - WARD - 45</t>
  </si>
  <si>
    <t>WARD 46 - WARD - 46</t>
  </si>
  <si>
    <t>WARD 47 - WARD - 47</t>
  </si>
  <si>
    <t>WARD 48 - WARD - 48</t>
  </si>
  <si>
    <t>WARD 49 - WARD - 49</t>
  </si>
  <si>
    <t>WARD 51 - WARD - 51</t>
  </si>
  <si>
    <t>WARD 52 - WARD - 52</t>
  </si>
  <si>
    <t>WARD 53 - WARD - 53</t>
  </si>
  <si>
    <t>WARD 54 - WARD - 54</t>
  </si>
  <si>
    <t>WARD 55 - WARD - 55</t>
  </si>
  <si>
    <t>WARD 56 - WARD - 56</t>
  </si>
  <si>
    <t>WARD 57 - WARD - 57</t>
  </si>
  <si>
    <t>WARD 58 - WARD - 58</t>
  </si>
  <si>
    <t>WARD 59 - WARD - 59</t>
  </si>
  <si>
    <t>WARD 60 - WARD - 60</t>
  </si>
  <si>
    <t>WARD 61 - WARD - 61</t>
  </si>
  <si>
    <t>WARD 62 - WARD - 62</t>
  </si>
  <si>
    <t>WARD 63 - WARD - 63</t>
  </si>
  <si>
    <t>WARD 64 - WARD - 64</t>
  </si>
  <si>
    <t>WARD 65 - WARD - 65</t>
  </si>
  <si>
    <t>WARD 66 - WARD - 66</t>
  </si>
  <si>
    <t>WARD 67 - WARD - 67</t>
  </si>
  <si>
    <t>WARD 68 - WARD - 68</t>
  </si>
  <si>
    <t>WARD 69 - WARD - 69</t>
  </si>
  <si>
    <t>WARD 70 - WARD - 70</t>
  </si>
  <si>
    <t>WARD 71 - WARD - 71</t>
  </si>
  <si>
    <t>WARD 72 - WARD - 72</t>
  </si>
  <si>
    <t>WARD 73 - WARD - 73</t>
  </si>
  <si>
    <t>WARD 74 - WARD - 74</t>
  </si>
  <si>
    <t>WARD 75 - WARD - 75</t>
  </si>
  <si>
    <t>MORNING_RJ14GT8126</t>
  </si>
  <si>
    <t>MORNING_RJ14GT8106</t>
  </si>
  <si>
    <t>MORNING_RJ14GT8105</t>
  </si>
  <si>
    <t>MORNING_SVC09122</t>
  </si>
  <si>
    <t>MORNING_RJ14GT9036</t>
  </si>
  <si>
    <t>MORNING_RJ14GT8110</t>
  </si>
  <si>
    <t>MORNING_RJ14GT7552</t>
  </si>
  <si>
    <t>MORNING_RJ14GT8386</t>
  </si>
  <si>
    <t>MORNING_RJ14GT7541</t>
  </si>
  <si>
    <t>MORNING_RJ14GT8132</t>
  </si>
  <si>
    <t>MORNING_RJ14GT8826</t>
  </si>
  <si>
    <t>MORNING_SVD11746</t>
  </si>
  <si>
    <t>MORNING_RJ14GT8137</t>
  </si>
  <si>
    <t>MORNING_RJ14GT8205</t>
  </si>
  <si>
    <t>MORNING_RJ14GT8122</t>
  </si>
  <si>
    <t>MORNING_RJ14GT9028</t>
  </si>
  <si>
    <t>MORNING_RJ14GT8118</t>
  </si>
  <si>
    <t>MORNING_RJ14GT8130</t>
  </si>
  <si>
    <t>MORNING_RJ14GT8933</t>
  </si>
  <si>
    <t>MORNING_RJ14GT8252</t>
  </si>
  <si>
    <t>MORNING_RJ14GT8978</t>
  </si>
  <si>
    <t>MORNING-RJ14GT8262</t>
  </si>
  <si>
    <t>MORNING-SVD11148</t>
  </si>
  <si>
    <t>MORNING_SZE13376</t>
  </si>
  <si>
    <t>MORNING_RJ14GT7544</t>
  </si>
  <si>
    <t>MORNING_RJ14GT8250</t>
  </si>
  <si>
    <t>MORNING_RJ14GT9046</t>
  </si>
  <si>
    <t>MORNING_RJ14GT8101</t>
  </si>
  <si>
    <t>MORNING_RJ14GT8127</t>
  </si>
  <si>
    <t>MORNING_RJ14GT8107</t>
  </si>
  <si>
    <t>MORNING_SVF19531</t>
  </si>
  <si>
    <t>MORNING_RJ14G7545</t>
  </si>
  <si>
    <t>MORNING_RJ14GT8098</t>
  </si>
  <si>
    <t>MORNING_RJ14GT7553</t>
  </si>
  <si>
    <t>MORNING_RJ14GT7547</t>
  </si>
  <si>
    <t>MORNING_RJ14GT8296</t>
  </si>
  <si>
    <t>MORNING_RJ14GT8851</t>
  </si>
  <si>
    <t>MORNING_RJ14GT7556</t>
  </si>
  <si>
    <t>MORNING_RJ14GT8198</t>
  </si>
  <si>
    <t>MORNING_RJ14GT7555</t>
  </si>
  <si>
    <t>MORNING_RJ14GT7560</t>
  </si>
  <si>
    <t>MORNING_RJ14GT8116</t>
  </si>
  <si>
    <t>MORNING_RJ14GT8855</t>
  </si>
  <si>
    <t>MORNING_RJ14GT8237</t>
  </si>
  <si>
    <t>MORNING_RJ14GT7574</t>
  </si>
  <si>
    <t>MORNING_SVE15002</t>
  </si>
  <si>
    <t>MORNING_RJ14GT8303</t>
  </si>
  <si>
    <t>MORNING_SVF17994</t>
  </si>
  <si>
    <t>MORNING_RJ14GT8845</t>
  </si>
  <si>
    <t>MORNING_RJ14GT8822</t>
  </si>
  <si>
    <t>MORNING_RJ14GT8824</t>
  </si>
  <si>
    <t>MORNING_RJ14GT8825</t>
  </si>
  <si>
    <t>MORNING_RJ14GT8169</t>
  </si>
  <si>
    <t>MORNING_RJ14GT8815</t>
  </si>
  <si>
    <t>MORNING_RJ14GT8823</t>
  </si>
  <si>
    <t>MORNING_RJ14GT7550</t>
  </si>
  <si>
    <t>MORNING_RJ14GT7559</t>
  </si>
  <si>
    <t>MORNING_RJ14GT8306</t>
  </si>
  <si>
    <t>MORNING_RJ14GT9035</t>
  </si>
  <si>
    <t>MORNING_RJ14GT7570</t>
  </si>
  <si>
    <t>MORNING_RJ14GT7549</t>
  </si>
  <si>
    <t>MORNING_RJ14GT8125</t>
  </si>
  <si>
    <t>MORNING_RJ14GT8261</t>
  </si>
  <si>
    <t>MORNING_RJ14GT8295</t>
  </si>
  <si>
    <t>MORNING_RJ14GT8828</t>
  </si>
  <si>
    <t>MORNING_RJ14GT8305</t>
  </si>
  <si>
    <t>MORNING_RJ14GT8304</t>
  </si>
  <si>
    <t>MORNING_RJ14GT8836</t>
  </si>
  <si>
    <t>MORNING_RJ14GT8112</t>
  </si>
  <si>
    <t>MORNING_RJ14GT8832</t>
  </si>
  <si>
    <t>MORNING_RJ47GA6531</t>
  </si>
  <si>
    <t>MORNING_RJ47GN3509</t>
  </si>
  <si>
    <t>MORNING_RJ14GN3510</t>
  </si>
  <si>
    <t>MORNING_RJ47GA6537</t>
  </si>
  <si>
    <t>MORNING_RJ47GA6538</t>
  </si>
  <si>
    <t>MORNING_RJ47GA7240</t>
  </si>
  <si>
    <t>MORNING_RJ47GA7246</t>
  </si>
  <si>
    <t>MORNING_RJ47GA7281</t>
  </si>
  <si>
    <t>URBAN ENVIRO WASTE MANAGEMENT SWEEPING &amp; DUSTBIN HOPPERS</t>
  </si>
  <si>
    <t>WEVOIS LABS PVT LTD. SWEEPING  HOPPERS</t>
  </si>
  <si>
    <t>Ward 50 - Ward - 50</t>
  </si>
  <si>
    <t>WEVOIS LABS PVT LTD. SWEEPING &amp; COMMERCIAL  HOPPERS</t>
  </si>
  <si>
    <t>AMRUT ENTERPRISES SWEEPING HOPPERS</t>
  </si>
  <si>
    <t>Ward 93 - Ward - 93</t>
  </si>
  <si>
    <t>SWEEPING_RJ14GN6232SW</t>
  </si>
  <si>
    <t>SW_W29_RJ14GN5202SW</t>
  </si>
  <si>
    <t>SWEEPING_RJ14GN5287SW</t>
  </si>
  <si>
    <t>SWEEPING_W27_RJ14GN5214</t>
  </si>
  <si>
    <t>SWEEPING_RJ14GQ5287SW</t>
  </si>
  <si>
    <t>SWEEPING_RJ14GN5749SW</t>
  </si>
  <si>
    <t>SWEEPING_RJ14GN8479SW</t>
  </si>
  <si>
    <t>SWEEPING_RJ14GQ5302SW</t>
  </si>
  <si>
    <t>SWEEPING_RJ14GQ5292SW</t>
  </si>
  <si>
    <t>SWEEPING_W23_RJ14GN6114</t>
  </si>
  <si>
    <t>SWEEPING_W23_RJ14GN5205</t>
  </si>
  <si>
    <t>SWEEPING_RJ14GN5736SW</t>
  </si>
  <si>
    <t>DUSTBIN_RJ14GQ5297DB</t>
  </si>
  <si>
    <t>SWEEPING_RJ14GN5967SW</t>
  </si>
  <si>
    <t>SWEEPING_RJ14GN5299SW</t>
  </si>
  <si>
    <t>SW_W20_RJ14GQ5293</t>
  </si>
  <si>
    <t>SWEEPING_W19_RJ14GQ5286</t>
  </si>
  <si>
    <t>SWEEPING_W19_RJ14GN5746</t>
  </si>
  <si>
    <t>SWEEPING_W18_RJ14GN5190</t>
  </si>
  <si>
    <t>SWEEPING_RJ14GQ5278SW</t>
  </si>
  <si>
    <t>SWEEPING_RJ14GN8478SW</t>
  </si>
  <si>
    <t>SWEEPING_W16_RJ14GN4977</t>
  </si>
  <si>
    <t>SWEEPING_W15_RJ14GN5966</t>
  </si>
  <si>
    <t>SWEEPING_RJ14GQ5286SW</t>
  </si>
  <si>
    <t>SWEEPING_W14_RJ14GN7806</t>
  </si>
  <si>
    <t>SW_14_RJ14GQ5300</t>
  </si>
  <si>
    <t>SW_13_RJ14GN5191SW</t>
  </si>
  <si>
    <t>SW_13_RJ14GN5208SW</t>
  </si>
  <si>
    <t>SWEEPING_RJ14GN5221SW</t>
  </si>
  <si>
    <t>SWEEPING_RJ14GN8487SW</t>
  </si>
  <si>
    <t>SWEEPING_RJ14GN5484SW</t>
  </si>
  <si>
    <t>DUSTBIN_RJ14GQ5285DB</t>
  </si>
  <si>
    <t>SWEEPING_W10_RJ14GQ5289</t>
  </si>
  <si>
    <t>SWEEPING_W10_RJ14GN5740SW</t>
  </si>
  <si>
    <t>SWEEPING_RJ14GN4983SW</t>
  </si>
  <si>
    <t>SWEEPING_RJ14GN5212SW</t>
  </si>
  <si>
    <t>SWEEPING_RJ14GN5740</t>
  </si>
  <si>
    <t>SWEEPING_RJ14GN5031SW</t>
  </si>
  <si>
    <t>SWEEPING_W7_RJ14GN8553</t>
  </si>
  <si>
    <t>SWEEPING_RJ14GN5970SW</t>
  </si>
  <si>
    <t>SWEEPING_RJ14GN5195SW</t>
  </si>
  <si>
    <t>SWEEPING_W4_RJ14GQ5303</t>
  </si>
  <si>
    <t>SWEEPING_W3_RJ14GN5750</t>
  </si>
  <si>
    <t>SWEEPING_W2_RJ14GQ5284</t>
  </si>
  <si>
    <t>SWEEPING_RJ14GN5034SW</t>
  </si>
  <si>
    <t>W54_SVE14870SW</t>
  </si>
  <si>
    <t>W53_SVE15055SW</t>
  </si>
  <si>
    <t>W52_SVD10955SW</t>
  </si>
  <si>
    <t>W51_SVE15607SW</t>
  </si>
  <si>
    <t>W50_SVE16562SW_R2</t>
  </si>
  <si>
    <t>W50_SVD11176SW_R1</t>
  </si>
  <si>
    <t>W49_SVD11095SW_R4</t>
  </si>
  <si>
    <t>W49_SVD11441SW_R2</t>
  </si>
  <si>
    <t>W49_SVE14867SW_R1</t>
  </si>
  <si>
    <t>W49_SVE14962SW_R5</t>
  </si>
  <si>
    <t>W49_SVE15300SW_R3</t>
  </si>
  <si>
    <t>W48_SZE14832SW_R2</t>
  </si>
  <si>
    <t>W48_SVC08896SW_R1</t>
  </si>
  <si>
    <t>W48_SVD11750SW</t>
  </si>
  <si>
    <t>W47_SVC09087SW</t>
  </si>
  <si>
    <t>W46_SVC09217SW</t>
  </si>
  <si>
    <t>W45_SVD11119SW_R1</t>
  </si>
  <si>
    <t>W45_SVE16555SW_R2</t>
  </si>
  <si>
    <t>W44_SVD11034SW</t>
  </si>
  <si>
    <t>W43_SVE15827SW</t>
  </si>
  <si>
    <t>W42_SVD11281SW</t>
  </si>
  <si>
    <t>W41_SVD11447SW</t>
  </si>
  <si>
    <t>W40_SZE13106SW</t>
  </si>
  <si>
    <t>W39_SVD11055SW</t>
  </si>
  <si>
    <t>W38_SVC09056SW</t>
  </si>
  <si>
    <t>W37_SVD10996SW</t>
  </si>
  <si>
    <t>W36_SVD11722SW_R2</t>
  </si>
  <si>
    <t>W36_SVE14915SW_R1</t>
  </si>
  <si>
    <t>W35_SVE14993SW_R2</t>
  </si>
  <si>
    <t>W35_SVE16701SW_R1</t>
  </si>
  <si>
    <t>W34_SVD11271SW</t>
  </si>
  <si>
    <t>W33_SVC09135SW</t>
  </si>
  <si>
    <t>W32_SVC08958SW</t>
  </si>
  <si>
    <t>W31_SVD11423SW</t>
  </si>
  <si>
    <t>SWEEPING_4783SW</t>
  </si>
  <si>
    <t>COMMERCIAL_SZE13062</t>
  </si>
  <si>
    <t>SWEEPING_ SZE13784SW</t>
  </si>
  <si>
    <t>COMMERCIAL_SVE16643</t>
  </si>
  <si>
    <t>SWEEPING_4784SW</t>
  </si>
  <si>
    <t>SWEEPING_SZE14627SW</t>
  </si>
  <si>
    <t>SWEEPING_SVE14708SW</t>
  </si>
  <si>
    <t>SWEEPING_SVE15117SW</t>
  </si>
  <si>
    <t>SWEEPING_ SZE14745SW</t>
  </si>
  <si>
    <t>SWEEPING_SVD11750SW</t>
  </si>
  <si>
    <t>SWEEPING_SZE14781SW</t>
  </si>
  <si>
    <t>SWEEPING_SVE14947</t>
  </si>
  <si>
    <t>COMMERCIAL_ SVD11447CM</t>
  </si>
  <si>
    <t>COMMERCIAL_SVE14876</t>
  </si>
  <si>
    <t>SWEEPING_SVE16525SW</t>
  </si>
  <si>
    <t>SWEEPING_SVE14903SW</t>
  </si>
  <si>
    <t>SWEEPING_SVE16764SW</t>
  </si>
  <si>
    <t>SWEEPING_ SVE14950SW</t>
  </si>
  <si>
    <t>SWEEPING_SVG20749SW</t>
  </si>
  <si>
    <t>SWEEPING_ SZF15140SW</t>
  </si>
  <si>
    <t>SWEEPING_SVE15622</t>
  </si>
  <si>
    <t>SWEEPING_ SVE16669SW</t>
  </si>
  <si>
    <t>COMMERCIAL_ SVD11431CM</t>
  </si>
  <si>
    <t>SWEEPING_ SVE14768SW</t>
  </si>
  <si>
    <t>COMMERCIAL_ SVC08982CM</t>
  </si>
  <si>
    <t>SWEEPING_ SVE16518SW</t>
  </si>
  <si>
    <t>SWEEPING_3748SW</t>
  </si>
  <si>
    <t>SWEEPING_20844SW</t>
  </si>
  <si>
    <t>SWEEPING_SVE16699SW</t>
  </si>
  <si>
    <t>SWEEPING_7632SW</t>
  </si>
  <si>
    <t>SWEEPING_5080CM</t>
  </si>
  <si>
    <t>SWEEPING_SVE16702SW</t>
  </si>
  <si>
    <t>SWEEPING_SVE20751SW</t>
  </si>
  <si>
    <t>SWEEPING_SVE16771SW</t>
  </si>
  <si>
    <t>SWEEPING_SVG20779SW</t>
  </si>
  <si>
    <t>SWEEPING_SVG20665SW</t>
  </si>
  <si>
    <t>SWEEPING_SVF17620SW</t>
  </si>
  <si>
    <t>SWEEPING_SVG20607SW</t>
  </si>
  <si>
    <t>SWEEPING_SVF17122SW</t>
  </si>
  <si>
    <t>SWEEPING_SZE13790SW</t>
  </si>
  <si>
    <t>SWEEPING_RJ14GB6196SW</t>
  </si>
  <si>
    <t>COMMERCIAL_SVE16706</t>
  </si>
  <si>
    <t>SWEEPING_SVE14969SW</t>
  </si>
  <si>
    <t>SWEEPING_SVF17104SW</t>
  </si>
  <si>
    <t>SWEEPING_RJ14GK0980</t>
  </si>
  <si>
    <t>SWEEPING_RJ14GH5451</t>
  </si>
  <si>
    <t>SWEEPING_5021SW</t>
  </si>
  <si>
    <t>SWEEPING_4759SW</t>
  </si>
  <si>
    <t>COMMERCIAL_SVG20761CM</t>
  </si>
  <si>
    <t>SWEEPING_SVE15676SW</t>
  </si>
  <si>
    <t>SWEEPING_SVG20709SW</t>
  </si>
  <si>
    <t>SWEEPING_RJ47GA7298SW</t>
  </si>
  <si>
    <t>SWEEPING_RJ47GA7276SW</t>
  </si>
  <si>
    <t>SWEEPING_RJ47GA7336SW</t>
  </si>
  <si>
    <t>SWEEPING_RJ47GA7340SW</t>
  </si>
  <si>
    <t>SWEEPING_RJ47GA7241SW</t>
  </si>
  <si>
    <t>SWEEPING_RJ47GA7187SW</t>
  </si>
  <si>
    <t>SWEEPING_RJ47GA7224SW</t>
  </si>
  <si>
    <t>SWEEPING_RJ47GA7225SW</t>
  </si>
  <si>
    <t>SWEEPING_RJ47GA7223SW</t>
  </si>
  <si>
    <t>SWEEPING_RJ47GA7245SW</t>
  </si>
  <si>
    <t>SWEEPING_RJ47GA7296SW</t>
  </si>
  <si>
    <t>SWEEPING_RJ47GA7332SW</t>
  </si>
  <si>
    <t>SWEEPING_RJ47GA7273SW</t>
  </si>
  <si>
    <t>SWEEPING_RJ47GA7172SW</t>
  </si>
  <si>
    <t>SWEEPING_RJ47GA7220SW</t>
  </si>
  <si>
    <t>SWEEPING_RJ47GA7288SW</t>
  </si>
  <si>
    <t>SWEEPING_RJ47GA7221SW</t>
  </si>
  <si>
    <t>SWEEPING_RJ47GA7247SW</t>
  </si>
  <si>
    <t>SWEEPING_RJ47GA7277SW</t>
  </si>
  <si>
    <t>SWEEPING_RJ47GA7239SW</t>
  </si>
  <si>
    <t>SWEEPING_RJ47GA7233SW</t>
  </si>
  <si>
    <t>SWEEPING_RJ47GA7222SW</t>
  </si>
  <si>
    <t>SWEEPING_RJ47GA7286SW</t>
  </si>
  <si>
    <t>SWEEPING_RJ47GA7194SW</t>
  </si>
  <si>
    <t>SWEEPING_RJ47GA7300SW</t>
  </si>
  <si>
    <t>SWEEPING_RJ47GA7171SW</t>
  </si>
  <si>
    <t>SWEEPING_RJ47GA7230SW</t>
  </si>
  <si>
    <t>SWEEPING_RJ47GA7175SW</t>
  </si>
  <si>
    <t>SWEEPING_RJ47GA7196SW</t>
  </si>
  <si>
    <t>SWEEPING_RJ47GH5081SW</t>
  </si>
  <si>
    <t>MORNING_RJ47GA7195</t>
  </si>
  <si>
    <t>SWEEPING_RJ47GA7226SW</t>
  </si>
  <si>
    <t>SWEEPING_RJ47GA7173SW</t>
  </si>
  <si>
    <t>SWEEPING_RJ47GA7189SW</t>
  </si>
  <si>
    <t>SWEEPING_RJ47GA7216SW</t>
  </si>
  <si>
    <t>SWEEPING_RJ47GA7229SW</t>
  </si>
  <si>
    <t>SWEEPING_RJ47GA7280SW</t>
  </si>
  <si>
    <t>SWEEPING_RJ47GA7281SW</t>
  </si>
  <si>
    <t>SWEEPING_RJ47GA7337SW</t>
  </si>
  <si>
    <t>SWEEPING_RJ47GA7291SW</t>
  </si>
  <si>
    <t>SWEEPING_RJ47GA7246SW</t>
  </si>
  <si>
    <t>SWEEPING_RJ47GA7234SW</t>
  </si>
  <si>
    <t>SWEEPING_RJ47GA7199SW</t>
  </si>
  <si>
    <t>ZONE</t>
  </si>
  <si>
    <t>NO. OF D2D HOPPERS</t>
  </si>
  <si>
    <t>NO. OF NOT WORKED HOPPERS</t>
  </si>
  <si>
    <t>TRIPS</t>
  </si>
  <si>
    <t>HAWAMAHAL - AMER ZONE</t>
  </si>
  <si>
    <t xml:space="preserve">ADARSH NAGAR ZONE </t>
  </si>
  <si>
    <t>AVERAGE/TOTAL</t>
  </si>
  <si>
    <t>ALL ZONES STREET SWEEPING HOPPERS</t>
  </si>
  <si>
    <t>NO. OF SWEEPING HOPPERS</t>
  </si>
  <si>
    <t xml:space="preserve"> </t>
  </si>
  <si>
    <t>NO. OF HOPPERS</t>
  </si>
  <si>
    <t>NAGAR NIGAM JAIPUR PART - II</t>
  </si>
  <si>
    <t>ALL ZONES DOOR TO DOOR HOPPERS  (07:00 AM TO 03:30 PM )</t>
  </si>
  <si>
    <t>ALL ZONES EVENING COMMERCIAL HOPPERS  ( 04:00PM TO 11:00 PM)</t>
  </si>
  <si>
    <t>Zone 1 - Hawa Mahal-Aamer Zone</t>
  </si>
  <si>
    <t>Zone 2 - Civil Lines Zone</t>
  </si>
  <si>
    <t>Zone 3 - Kishanpole Zone</t>
  </si>
  <si>
    <t>Zone 4 - Adarsh Nagar Zone</t>
  </si>
  <si>
    <t xml:space="preserve">VEHICLE EARLY DEPARTURE REPORT (D2D) </t>
  </si>
  <si>
    <t>Zone</t>
  </si>
  <si>
    <t>Start time</t>
  </si>
  <si>
    <t>End time</t>
  </si>
  <si>
    <t>Active hours</t>
  </si>
  <si>
    <t>Distance (km)</t>
  </si>
  <si>
    <t>TOTAL NO. OF VEHICLES EARLY DEPARTED</t>
  </si>
  <si>
    <t xml:space="preserve">NO. OF VEHICLE DEPARTED BEFORE 10:00 AM </t>
  </si>
  <si>
    <t xml:space="preserve">NO. OF VEHICLE DEPARTED BETWEEN 10:00 AM TO 11:00 AM </t>
  </si>
  <si>
    <t>NO. OF VEHICLE DEPARTED BETWEEN 11:00 AM TO 12:00 PM</t>
  </si>
  <si>
    <t>NO. OF VEHICLE DEPARTED BETWEEN 12:00 PM TO 1:00 PM</t>
  </si>
  <si>
    <t>RJ14GT8910</t>
  </si>
  <si>
    <t>RJ14GQ5270</t>
  </si>
  <si>
    <t>NOT WORKED</t>
  </si>
  <si>
    <t>GPS TAMPERED</t>
  </si>
  <si>
    <t>NEW GPS INSTALLED</t>
  </si>
  <si>
    <t>REPLACED BY 0645 (GPS TAMPERED)</t>
  </si>
  <si>
    <t>GPS DAMAGED</t>
  </si>
  <si>
    <t>RJ14GN3513SW</t>
  </si>
  <si>
    <t>RJ14GT8131CM</t>
  </si>
  <si>
    <t>RJ14GU0647</t>
  </si>
  <si>
    <t>RJ14GT9035</t>
  </si>
  <si>
    <t>RJ41GA6169</t>
  </si>
  <si>
    <t>RJ41GA5804</t>
  </si>
  <si>
    <t>RJ52GB3945</t>
  </si>
  <si>
    <t>RJ14GN7965</t>
  </si>
  <si>
    <t>RJ14GT8306</t>
  </si>
  <si>
    <t>RJ14GJ5606AS</t>
  </si>
  <si>
    <t>RJ32GA9398</t>
  </si>
  <si>
    <t>RJ14GK2704</t>
  </si>
  <si>
    <t>RJ47GA7181</t>
  </si>
  <si>
    <t>RJ14EA6740D</t>
  </si>
  <si>
    <t>RJ14GG3592</t>
  </si>
  <si>
    <t>RJ14GJ6237</t>
  </si>
  <si>
    <t>RJ14GN4339</t>
  </si>
  <si>
    <t>RJ14GL3933KP</t>
  </si>
  <si>
    <t>RJ14EB4283NN</t>
  </si>
  <si>
    <t>RJ14GP0196</t>
  </si>
  <si>
    <t>RJ14GN5215</t>
  </si>
  <si>
    <t>RJ14GN5192</t>
  </si>
  <si>
    <t>RJ14GF4348</t>
  </si>
  <si>
    <t>RJ14GH5064CL</t>
  </si>
  <si>
    <t>RJ14GN7668</t>
  </si>
  <si>
    <t>RJ14GL6310</t>
  </si>
  <si>
    <t>RJ14GT8837SW</t>
  </si>
  <si>
    <t>RJ47GA7245SW</t>
  </si>
  <si>
    <t>RJ14GF6617</t>
  </si>
  <si>
    <t>RJ14GQ5303SW</t>
  </si>
  <si>
    <t>RJ14GU1705</t>
  </si>
  <si>
    <t>RJ14GQ5301</t>
  </si>
  <si>
    <t>RJ14GU1726</t>
  </si>
  <si>
    <t>RJ14GT8929SW</t>
  </si>
  <si>
    <t>RJ40GA4394NN</t>
  </si>
  <si>
    <t>RJ47GA7290</t>
  </si>
  <si>
    <t>RJ02RE7746</t>
  </si>
  <si>
    <t>RJ14GQ8654HM</t>
  </si>
  <si>
    <t>RJ14GN5967SW</t>
  </si>
  <si>
    <t>RJ14GN7680</t>
  </si>
  <si>
    <t>GOBBLER86</t>
  </si>
  <si>
    <t>RJ14GQ5279SW</t>
  </si>
  <si>
    <t>GOBBLER85</t>
  </si>
  <si>
    <t>RJ14GN5973</t>
  </si>
  <si>
    <t>GOBBLER90</t>
  </si>
  <si>
    <t>RJ14GN2026SS</t>
  </si>
  <si>
    <t>RJ40GA4395</t>
  </si>
  <si>
    <t>RJ14GQ5289SW</t>
  </si>
  <si>
    <t>SVC09122</t>
  </si>
  <si>
    <t>GOBBLER89</t>
  </si>
  <si>
    <t>RJ47EA0451NN</t>
  </si>
  <si>
    <t>RJ14EA9441NN</t>
  </si>
  <si>
    <t>RJ47GA7295</t>
  </si>
  <si>
    <t>RJ14GT8302SW</t>
  </si>
  <si>
    <t>SVE16562SW</t>
  </si>
  <si>
    <t>RJ40GA4419</t>
  </si>
  <si>
    <t>GOBBLER87</t>
  </si>
  <si>
    <t>RJ14GN0230</t>
  </si>
  <si>
    <t>RJ14GQ5287SW</t>
  </si>
  <si>
    <t>RJ14EA9431NN</t>
  </si>
  <si>
    <t>RJ14EB4280NN</t>
  </si>
  <si>
    <t>RJ14GT7569SW</t>
  </si>
  <si>
    <t>RJ47GA7220SW</t>
  </si>
  <si>
    <t>RJ14GN5220</t>
  </si>
  <si>
    <t>RJ40GA5079</t>
  </si>
  <si>
    <t>RJ14EA9440NN</t>
  </si>
  <si>
    <t>RJ14GQ5284SW</t>
  </si>
  <si>
    <t>RJ47GA7291SW</t>
  </si>
  <si>
    <t>RJ14GT8134SW</t>
  </si>
  <si>
    <t>RJ14GK9130</t>
  </si>
  <si>
    <t>RJ14GT8935SW</t>
  </si>
  <si>
    <t>RJ14GN5202SW</t>
  </si>
  <si>
    <t>RJ14GN0232</t>
  </si>
  <si>
    <t>RJ14GT9036</t>
  </si>
  <si>
    <t>RJ14GK9127</t>
  </si>
  <si>
    <t>RJ14GT8198</t>
  </si>
  <si>
    <t>GJ06BT8541TA</t>
  </si>
  <si>
    <t>RJ14GQ5302SW</t>
  </si>
  <si>
    <t>RJ14GT9481SW</t>
  </si>
  <si>
    <t>RJ14GN8479SW</t>
  </si>
  <si>
    <t>RJ14GN0218</t>
  </si>
  <si>
    <t>RJ14GT9484SW</t>
  </si>
  <si>
    <t>RJ14GT8130</t>
  </si>
  <si>
    <t>RJ14GN2029SS</t>
  </si>
  <si>
    <t>RJ40GA4398</t>
  </si>
  <si>
    <t>RJ14GT8166SW</t>
  </si>
  <si>
    <t>RJ23GC1424</t>
  </si>
  <si>
    <t>RJ14GT9474SW</t>
  </si>
  <si>
    <t>RJ14GT9454SW</t>
  </si>
  <si>
    <t>RJ47GA7273SW</t>
  </si>
  <si>
    <t>RJ14GN5208SW</t>
  </si>
  <si>
    <t>RJ47GA7233SW</t>
  </si>
  <si>
    <t>RJ14GN0228</t>
  </si>
  <si>
    <t>RJ14GN0233</t>
  </si>
  <si>
    <t>RJ14GT9975</t>
  </si>
  <si>
    <t>RJ14GN8487SW</t>
  </si>
  <si>
    <t>RJ14GN0238</t>
  </si>
  <si>
    <t>RJ14GT8963SW</t>
  </si>
  <si>
    <t>RJ14GU0643SW</t>
  </si>
  <si>
    <t>RJ14GH5081SW</t>
  </si>
  <si>
    <t>RJ14RE3738</t>
  </si>
  <si>
    <t>RJ14GQ5285DB</t>
  </si>
  <si>
    <t>RJ14GN0224</t>
  </si>
  <si>
    <t>RJ14GT9042</t>
  </si>
  <si>
    <t>RJ40GA5078</t>
  </si>
  <si>
    <t>RJ14GN5747SW</t>
  </si>
  <si>
    <t>RJ14GT9477SW</t>
  </si>
  <si>
    <t>RJ47GA7230SW</t>
  </si>
  <si>
    <t>RJ14GN3509</t>
  </si>
  <si>
    <t>RJ14GH3633HM</t>
  </si>
  <si>
    <t>RJ14GT8855</t>
  </si>
  <si>
    <t>RJ14GT9970</t>
  </si>
  <si>
    <t>RJ14GN5212SW</t>
  </si>
  <si>
    <t>RJ14GT8840</t>
  </si>
  <si>
    <t>RJ14GN3510</t>
  </si>
  <si>
    <t>RJ14GT7568SW</t>
  </si>
  <si>
    <t>RJ14GH5451SW</t>
  </si>
  <si>
    <t>RJ14GT8909SW</t>
  </si>
  <si>
    <t>RJ14GT8154SW</t>
  </si>
  <si>
    <t>RJ14GN5736SW</t>
  </si>
  <si>
    <t>RJ14GT8914CM</t>
  </si>
  <si>
    <t>RJ14GN4977SW</t>
  </si>
  <si>
    <t>RJ14GA4397</t>
  </si>
  <si>
    <t>RJ14GU0637</t>
  </si>
  <si>
    <t>RJ14GQ5299SW</t>
  </si>
  <si>
    <t>RJ14GQ5277</t>
  </si>
  <si>
    <t>RJ14GT7572SW</t>
  </si>
  <si>
    <t>RJ14GN4338</t>
  </si>
  <si>
    <t>RJ14GQ5298</t>
  </si>
  <si>
    <t>RJ14GT9488SW</t>
  </si>
  <si>
    <t>RJ14GK9486</t>
  </si>
  <si>
    <t>RJ14GN6540SW</t>
  </si>
  <si>
    <t>RJ14GU0644SW</t>
  </si>
  <si>
    <t>RJ14GH5199CL</t>
  </si>
  <si>
    <t>RJ14GT7541</t>
  </si>
  <si>
    <t>RJ14GN8478SW</t>
  </si>
  <si>
    <t>MOUNTED002</t>
  </si>
  <si>
    <t>RJ14GN7804</t>
  </si>
  <si>
    <t>RJ14GN5750SW</t>
  </si>
  <si>
    <t>RJ14GT9466CM</t>
  </si>
  <si>
    <t>RJ14GN5190SW</t>
  </si>
  <si>
    <t>RJ14GT9457SW</t>
  </si>
  <si>
    <t>RJ14GT9482SW</t>
  </si>
  <si>
    <t>RJ14GT8242CM</t>
  </si>
  <si>
    <t>RJ14GT9485SW</t>
  </si>
  <si>
    <t>RJ14EB4281NN</t>
  </si>
  <si>
    <t>RJ14GT8911CM</t>
  </si>
  <si>
    <t>RJ14GN4983SW</t>
  </si>
  <si>
    <t>RJ14GT9461</t>
  </si>
  <si>
    <t>RJ47GA7297</t>
  </si>
  <si>
    <t>RJ14GQ5292SW</t>
  </si>
  <si>
    <t>RJ14GN0216</t>
  </si>
  <si>
    <t>RJ14GN6114SW</t>
  </si>
  <si>
    <t>RJ14GN0227</t>
  </si>
  <si>
    <t>RJ47GA7172SW</t>
  </si>
  <si>
    <t>RJ14GL3953SW</t>
  </si>
  <si>
    <t>RJ47GA7276SW</t>
  </si>
  <si>
    <t>RJ14GN5740SW</t>
  </si>
  <si>
    <t>RJ14GT7552</t>
  </si>
  <si>
    <t>RJ14GT9462</t>
  </si>
  <si>
    <t>RJ47GA7170</t>
  </si>
  <si>
    <t>RJ14RE4319</t>
  </si>
  <si>
    <t>RJ14GL3958CL</t>
  </si>
  <si>
    <t>RJ14GT8155SW</t>
  </si>
  <si>
    <t>RJ14GL4106CL</t>
  </si>
  <si>
    <t>RJ47GA7228</t>
  </si>
  <si>
    <t>RJ14GT9038</t>
  </si>
  <si>
    <t>RJ14GL3942KP</t>
  </si>
  <si>
    <t>RJ47GA7171SW</t>
  </si>
  <si>
    <t>RJ14GN0219</t>
  </si>
  <si>
    <t>RJ14GN5031SW</t>
  </si>
  <si>
    <t>RJ14GN4980SW</t>
  </si>
  <si>
    <t>RJ14GN8473</t>
  </si>
  <si>
    <t>RJ14GT9486</t>
  </si>
  <si>
    <t>RJ14GT9456SW</t>
  </si>
  <si>
    <t>RJ14GT8162</t>
  </si>
  <si>
    <t>RJ14GN0229</t>
  </si>
  <si>
    <t>RJ47GA7226SW</t>
  </si>
  <si>
    <t>RJ47GA7280SW</t>
  </si>
  <si>
    <t>RJ14GN5484SW</t>
  </si>
  <si>
    <t>RJ47GA7176</t>
  </si>
  <si>
    <t>RJ47GA7282</t>
  </si>
  <si>
    <t>RJ14GT8923</t>
  </si>
  <si>
    <t>RJ14GT8937SW</t>
  </si>
  <si>
    <t>RJ14GN5193</t>
  </si>
  <si>
    <t>RJ14GK0980SW</t>
  </si>
  <si>
    <t>SVE15117SW</t>
  </si>
  <si>
    <t>RJ14GT8159SW</t>
  </si>
  <si>
    <t>RJ14GT9464SW</t>
  </si>
  <si>
    <t>RJ14GT8098</t>
  </si>
  <si>
    <t>RJ14GU0636</t>
  </si>
  <si>
    <t>RJ47GA7296SW</t>
  </si>
  <si>
    <t>MOUNTED003</t>
  </si>
  <si>
    <t>RJ14GL3937SW</t>
  </si>
  <si>
    <t>RJ14GT8917SW</t>
  </si>
  <si>
    <t>RJ47GA7279</t>
  </si>
  <si>
    <t>MOUNTED001</t>
  </si>
  <si>
    <t>RJ14GT8116</t>
  </si>
  <si>
    <t>RJ14EA2408</t>
  </si>
  <si>
    <t>RJ14GN5749</t>
  </si>
  <si>
    <t>RJ14GN8112</t>
  </si>
  <si>
    <t>RJ14GT8386</t>
  </si>
  <si>
    <t>RJ14GT8106</t>
  </si>
  <si>
    <t>RJ14GN5598SW</t>
  </si>
  <si>
    <t>RJ14RE4320</t>
  </si>
  <si>
    <t>RJ40GA5085</t>
  </si>
  <si>
    <t>RJ47GA7188</t>
  </si>
  <si>
    <t>RJ14PC5782</t>
  </si>
  <si>
    <t>RJ14RE3739</t>
  </si>
  <si>
    <t>RJ47GA6539SW</t>
  </si>
  <si>
    <t>RJ47GA7337SW</t>
  </si>
  <si>
    <t>RJ14GT8305</t>
  </si>
  <si>
    <t>RJ14GT8237</t>
  </si>
  <si>
    <t>RJ14GN7696</t>
  </si>
  <si>
    <t>MOUNTED006</t>
  </si>
  <si>
    <t>RJ47GA7217</t>
  </si>
  <si>
    <t>RJ47GA7219</t>
  </si>
  <si>
    <t>RJ47GA7194SW</t>
  </si>
  <si>
    <t>RJ40GA5086</t>
  </si>
  <si>
    <t>RJ14GT8922</t>
  </si>
  <si>
    <t>RJ14GT8167SW</t>
  </si>
  <si>
    <t>RJ14GT8930SW</t>
  </si>
  <si>
    <t>RJ14GN8109</t>
  </si>
  <si>
    <t>RJ14GQ5293SW</t>
  </si>
  <si>
    <t>SVC08928</t>
  </si>
  <si>
    <t>RJ14GT8918SW</t>
  </si>
  <si>
    <t>RJ14GT8301CM</t>
  </si>
  <si>
    <t>RJ14GT8907SW</t>
  </si>
  <si>
    <t>RJ14GT8163SW</t>
  </si>
  <si>
    <t>RJ14GU0641CM</t>
  </si>
  <si>
    <t>RJ14GT8196SW</t>
  </si>
  <si>
    <t>RJ47GA7195SW</t>
  </si>
  <si>
    <t>RJ47GA7199SW</t>
  </si>
  <si>
    <t>RJ14GG4406HM</t>
  </si>
  <si>
    <t>RJ14GT9968CM</t>
  </si>
  <si>
    <t>RJ14GT9493SW</t>
  </si>
  <si>
    <t>RJ14GN7695</t>
  </si>
  <si>
    <t>RJ47GA7200</t>
  </si>
  <si>
    <t>RJ14EB4279NN</t>
  </si>
  <si>
    <t>RJ14GT9028</t>
  </si>
  <si>
    <t>RJ14GT7559</t>
  </si>
  <si>
    <t>RJ14GT9468SW</t>
  </si>
  <si>
    <t>RJ14GT8099</t>
  </si>
  <si>
    <t>RJ14RC6378</t>
  </si>
  <si>
    <t>RJ14GN4982SW</t>
  </si>
  <si>
    <t>RJ14GT9451SW</t>
  </si>
  <si>
    <t>RJ14GT8258SW</t>
  </si>
  <si>
    <t>RJ14GT8926</t>
  </si>
  <si>
    <t>RJ14GT8261</t>
  </si>
  <si>
    <t>RJ47GA7238</t>
  </si>
  <si>
    <t>RJ14GT8118</t>
  </si>
  <si>
    <t>RJ14GQ5297DB</t>
  </si>
  <si>
    <t>RJ14GN5195SW</t>
  </si>
  <si>
    <t>RJ47GA7222SW</t>
  </si>
  <si>
    <t>RJ47GA7274</t>
  </si>
  <si>
    <t>RJ14GQ5278SW</t>
  </si>
  <si>
    <t>RJ14GT7574</t>
  </si>
  <si>
    <t>RJ14GN5296SW</t>
  </si>
  <si>
    <t>RJ47GA7216SW</t>
  </si>
  <si>
    <t>RJ14GT9469</t>
  </si>
  <si>
    <t>RJ14GN7819</t>
  </si>
  <si>
    <t>RJ14GT7556</t>
  </si>
  <si>
    <t>SVF18994</t>
  </si>
  <si>
    <t>RJ47GA7288SW</t>
  </si>
  <si>
    <t>RJ47GA7225SW</t>
  </si>
  <si>
    <t>RJ14GT7546SW</t>
  </si>
  <si>
    <t>RJ14GT8132</t>
  </si>
  <si>
    <t>RJ47GA7229SW</t>
  </si>
  <si>
    <t>RJ14GT9029</t>
  </si>
  <si>
    <t>SVC08939</t>
  </si>
  <si>
    <t>RJ14GT8241SW</t>
  </si>
  <si>
    <t>RJ14GN8113</t>
  </si>
  <si>
    <t>RJ14GU7082</t>
  </si>
  <si>
    <t>RJ14GT8304</t>
  </si>
  <si>
    <t>RJ47GA7187SW</t>
  </si>
  <si>
    <t>RJ14GN5032</t>
  </si>
  <si>
    <t>RJ14GN7688</t>
  </si>
  <si>
    <t>RJ14GT8200SP</t>
  </si>
  <si>
    <t>RJ14GU0642SW</t>
  </si>
  <si>
    <t>RJ47GA7336SW</t>
  </si>
  <si>
    <t>RJ14GQ5286SW</t>
  </si>
  <si>
    <t>RJ14GN7802</t>
  </si>
  <si>
    <t>RJ14GT7560</t>
  </si>
  <si>
    <t>SVE15607SW</t>
  </si>
  <si>
    <t>RJ14GT7550</t>
  </si>
  <si>
    <t>RJ14GT8968SW</t>
  </si>
  <si>
    <t>RJ14GT8286SW</t>
  </si>
  <si>
    <t>RJ14GN7808</t>
  </si>
  <si>
    <t>RJ14GT9455SW</t>
  </si>
  <si>
    <t>SVD11746</t>
  </si>
  <si>
    <t>RJ14GB6196SW</t>
  </si>
  <si>
    <t>RJ14GT8966</t>
  </si>
  <si>
    <t>RJ14GT8168SW</t>
  </si>
  <si>
    <t>RJ47GA7340SW</t>
  </si>
  <si>
    <t>RJ14GQ8652HM</t>
  </si>
  <si>
    <t>RJ14GT8114SW</t>
  </si>
  <si>
    <t>RJ14GN0220</t>
  </si>
  <si>
    <t>RJ14GN7662</t>
  </si>
  <si>
    <t>RHJ14RD0734</t>
  </si>
  <si>
    <t>RJ14GT8105</t>
  </si>
  <si>
    <t>RJ47GA7285</t>
  </si>
  <si>
    <t>RJ14GT9487SW</t>
  </si>
  <si>
    <t>RJ14GT8972</t>
  </si>
  <si>
    <t>SVE15002</t>
  </si>
  <si>
    <t>RJ47GA7174</t>
  </si>
  <si>
    <t>RJ14RD1870</t>
  </si>
  <si>
    <t>RJ14GQ5288</t>
  </si>
  <si>
    <t>SVE14909</t>
  </si>
  <si>
    <t>RJ47GA7286SW</t>
  </si>
  <si>
    <t>RJ14GN8107</t>
  </si>
  <si>
    <t>RJ14GQ5272SW</t>
  </si>
  <si>
    <t>RJ47GA7247SW</t>
  </si>
  <si>
    <t>RJ47GA7294</t>
  </si>
  <si>
    <t>RJ47GA7186</t>
  </si>
  <si>
    <t>RJ23RC4771</t>
  </si>
  <si>
    <t>RJ14GN7799</t>
  </si>
  <si>
    <t>RJ14GN3512</t>
  </si>
  <si>
    <t>RJ14GT8127</t>
  </si>
  <si>
    <t>RJ47GA7185</t>
  </si>
  <si>
    <t>RJ14GL3930CL</t>
  </si>
  <si>
    <t>RJ14GQ5291</t>
  </si>
  <si>
    <t>RJ14GN7697</t>
  </si>
  <si>
    <t>RJ14GT8113SW</t>
  </si>
  <si>
    <t>MOUNTED009</t>
  </si>
  <si>
    <t>RJ47GA7223SW</t>
  </si>
  <si>
    <t>RJ14GU7081</t>
  </si>
  <si>
    <t>RJ47GA7342</t>
  </si>
  <si>
    <t>RJ47GA7192</t>
  </si>
  <si>
    <t>RJ14GN7806SW</t>
  </si>
  <si>
    <t>RJ14GT8964SW</t>
  </si>
  <si>
    <t>RJ14GT8824</t>
  </si>
  <si>
    <t>RJ47GA7283</t>
  </si>
  <si>
    <t>RJ14GN5966SW</t>
  </si>
  <si>
    <t>RJ14GT8295</t>
  </si>
  <si>
    <t>SVD11111</t>
  </si>
  <si>
    <t>RJ14GN5746SW</t>
  </si>
  <si>
    <t>RJ47GA7271</t>
  </si>
  <si>
    <t>RJ14GT8124SW</t>
  </si>
  <si>
    <t>SVE16555SW</t>
  </si>
  <si>
    <t>RJ14GT9475</t>
  </si>
  <si>
    <t>RJ14GT9048</t>
  </si>
  <si>
    <t>RJ14GT9478SW</t>
  </si>
  <si>
    <t>RJ14GT8938SW</t>
  </si>
  <si>
    <t>RJ47GA7224SW</t>
  </si>
  <si>
    <t>RJ14GL3959HM</t>
  </si>
  <si>
    <t>RJ14GT8851</t>
  </si>
  <si>
    <t>RJ14GN5205SW</t>
  </si>
  <si>
    <t>MOUNTED007</t>
  </si>
  <si>
    <t>RJ14GU0628SW</t>
  </si>
  <si>
    <t>SVE15827SW</t>
  </si>
  <si>
    <t>RJ14GT7544</t>
  </si>
  <si>
    <t>SZE13376</t>
  </si>
  <si>
    <t>RJ14GN7667</t>
  </si>
  <si>
    <t>RJI4GN8483</t>
  </si>
  <si>
    <t>RJ14GT8169</t>
  </si>
  <si>
    <t>RJ14GT8836</t>
  </si>
  <si>
    <t>RJ14GT7547</t>
  </si>
  <si>
    <t>RJ14GT9040SW</t>
  </si>
  <si>
    <t>SVC08930SP</t>
  </si>
  <si>
    <t>RJ14GN3938CL</t>
  </si>
  <si>
    <t>RJ47GA7338</t>
  </si>
  <si>
    <t>RJ14GT7549</t>
  </si>
  <si>
    <t>RJ14GN7683</t>
  </si>
  <si>
    <t>RJ14GT8845</t>
  </si>
  <si>
    <t>RJ14GP2520</t>
  </si>
  <si>
    <t>RJ14GT8156SW</t>
  </si>
  <si>
    <t>RJ14GH5055CL</t>
  </si>
  <si>
    <t>RJ14GN7820</t>
  </si>
  <si>
    <t>RJ14GT7542SW</t>
  </si>
  <si>
    <t>RJ47GA7339</t>
  </si>
  <si>
    <t>RJ14GH5066CL</t>
  </si>
  <si>
    <t>RJ14GU7091</t>
  </si>
  <si>
    <t>RJ47GA7180</t>
  </si>
  <si>
    <t>RJ14GH5067KP</t>
  </si>
  <si>
    <t>RJ14GN5753QT</t>
  </si>
  <si>
    <t>SVD11148</t>
  </si>
  <si>
    <t>RJ47GA7218</t>
  </si>
  <si>
    <t>RJ14GN7809</t>
  </si>
  <si>
    <t>RJ14GT8931SW</t>
  </si>
  <si>
    <t>RJ14GH4903AN</t>
  </si>
  <si>
    <t>RJ14GT8927</t>
  </si>
  <si>
    <t>RJ14GT8960</t>
  </si>
  <si>
    <t>RJ14EA8594TA</t>
  </si>
  <si>
    <t>RJ14GT7545</t>
  </si>
  <si>
    <t>RJ14GH4891CL</t>
  </si>
  <si>
    <t>RJ14GT7570</t>
  </si>
  <si>
    <t>SVE16701SW</t>
  </si>
  <si>
    <t>RJ14GT8122</t>
  </si>
  <si>
    <t>RJ14GQ5274SW</t>
  </si>
  <si>
    <t>RJ14GN7811</t>
  </si>
  <si>
    <t>RJ14GH5474HM</t>
  </si>
  <si>
    <t>RJ14GN7675</t>
  </si>
  <si>
    <t>MOUNTED004</t>
  </si>
  <si>
    <t>RJ14GN7795</t>
  </si>
  <si>
    <t>RJ14GN7800</t>
  </si>
  <si>
    <t>RJ47GA7275</t>
  </si>
  <si>
    <t>RJ14GH4898HM</t>
  </si>
  <si>
    <t>RJ14GT8832</t>
  </si>
  <si>
    <t>RJ14GU7079</t>
  </si>
  <si>
    <t>RJ47GA7237</t>
  </si>
  <si>
    <t>RJ14GT8822</t>
  </si>
  <si>
    <t>SVF19725</t>
  </si>
  <si>
    <t>RJ14GN7698</t>
  </si>
  <si>
    <t>RJ14GN5199SW</t>
  </si>
  <si>
    <t>RJ14GL3950HM</t>
  </si>
  <si>
    <t>RJ47GA7196SW</t>
  </si>
  <si>
    <t>RJ14GN7686</t>
  </si>
  <si>
    <t>RJ14GN7678</t>
  </si>
  <si>
    <t>RJ14GH3632</t>
  </si>
  <si>
    <t>RJI4GQ5300</t>
  </si>
  <si>
    <t>RJ47GA7332SW</t>
  </si>
  <si>
    <t>RJ14GT9046</t>
  </si>
  <si>
    <t>RJ14RD0933</t>
  </si>
  <si>
    <t>RJ14GT8137</t>
  </si>
  <si>
    <t>RJ14GT8250</t>
  </si>
  <si>
    <t>RJ14GT7553</t>
  </si>
  <si>
    <t>RJ47GA7190</t>
  </si>
  <si>
    <t>RJ14GG4413KP</t>
  </si>
  <si>
    <t>RJ14GN4335</t>
  </si>
  <si>
    <t>RJ14GT8252</t>
  </si>
  <si>
    <t>RJ14GT8933</t>
  </si>
  <si>
    <t>RJ14GN7687</t>
  </si>
  <si>
    <t>RJ14GT8815</t>
  </si>
  <si>
    <t>RJ47GA7241</t>
  </si>
  <si>
    <t>RJ47GA7177</t>
  </si>
  <si>
    <t>RJ14GN5224</t>
  </si>
  <si>
    <t>RJ14GL6315</t>
  </si>
  <si>
    <t>RJ14GH5476CL</t>
  </si>
  <si>
    <t>RJ14GQ5280</t>
  </si>
  <si>
    <t>RJ47GA7298SW</t>
  </si>
  <si>
    <t>RJ25RD1275RT</t>
  </si>
  <si>
    <t>RJ47GA7334</t>
  </si>
  <si>
    <t>RJ14GL6300</t>
  </si>
  <si>
    <t>RJ47GA7191</t>
  </si>
  <si>
    <t>RJ47GA7239SW</t>
  </si>
  <si>
    <t>RJ14GN5191SW</t>
  </si>
  <si>
    <t>RJ47GA7240</t>
  </si>
  <si>
    <t>RJ14GT8825</t>
  </si>
  <si>
    <t>RJ47GA7246</t>
  </si>
  <si>
    <t>RJ47GA7234SW</t>
  </si>
  <si>
    <t>RJ47GA7277SW</t>
  </si>
  <si>
    <t>RJ14GN7807</t>
  </si>
  <si>
    <t>RJ47GA7182</t>
  </si>
  <si>
    <t>RJ47GA7189SW</t>
  </si>
  <si>
    <t>RJ14GL1199</t>
  </si>
  <si>
    <t>RJ14GT7564SP</t>
  </si>
  <si>
    <t>RJ40GA5087NN</t>
  </si>
  <si>
    <t>RJ14GL6313</t>
  </si>
  <si>
    <t>RJ14GU1706</t>
  </si>
  <si>
    <t>RJ14GL4431MT</t>
  </si>
  <si>
    <t>RJ41GA7237</t>
  </si>
  <si>
    <t>RJ14GL6311</t>
  </si>
  <si>
    <t>RJ14GL6299</t>
  </si>
  <si>
    <t>RJ14GL6304</t>
  </si>
  <si>
    <t>RJ47GA7244</t>
  </si>
  <si>
    <t>RJ14GL6308</t>
  </si>
  <si>
    <t>RJ14GL6317</t>
  </si>
  <si>
    <t>RJ14GL6303</t>
  </si>
  <si>
    <t>Vehicle(s) RTO</t>
  </si>
  <si>
    <t>RJ14GN7682</t>
  </si>
  <si>
    <t>RJ47GA7175</t>
  </si>
  <si>
    <t>RJ14GT8839SW</t>
  </si>
  <si>
    <t>VEGITABLE_RJ14GF6058</t>
  </si>
  <si>
    <t>RJ14GF6058VW</t>
  </si>
  <si>
    <t>RJ14GT9463SW</t>
  </si>
  <si>
    <t>RJ14GU0629SW</t>
  </si>
  <si>
    <t>RJ47GA6536SW</t>
  </si>
  <si>
    <t>RJ14GU7084</t>
  </si>
  <si>
    <t>RJ47GA7300SW</t>
  </si>
  <si>
    <t>EVENING_RJ14GL4431</t>
  </si>
  <si>
    <t>SZE14832SW</t>
  </si>
  <si>
    <t>RJ14GT8238CM</t>
  </si>
  <si>
    <t>RJ14GT8976</t>
  </si>
  <si>
    <t>FLOWER_RJGF6891</t>
  </si>
  <si>
    <t>RJ14GD6891</t>
  </si>
  <si>
    <t>RJ14GT8847SW</t>
  </si>
  <si>
    <t>RJ14GN7661</t>
  </si>
  <si>
    <t>REPLACED BY 8844 (GPS TAMPERED)</t>
  </si>
  <si>
    <t>RJ52RA1612</t>
  </si>
  <si>
    <t>RJ32GA8828</t>
  </si>
  <si>
    <t>RJ14GN5207</t>
  </si>
  <si>
    <t>RJ07RC7693</t>
  </si>
  <si>
    <t>RJ47GA7221SW</t>
  </si>
  <si>
    <t>GOBBLER88</t>
  </si>
  <si>
    <t>RJ14GH3641CL</t>
  </si>
  <si>
    <t>ROBOTID1</t>
  </si>
  <si>
    <t>ROBOTID2</t>
  </si>
  <si>
    <t>RJ14GL3941CL</t>
  </si>
  <si>
    <t>RJ14GN5518NN</t>
  </si>
  <si>
    <t>REPLACED BY 1031 (GPS TAMPERED)</t>
  </si>
  <si>
    <t>REPLACED BY 5214 (GPS TAMPERED)</t>
  </si>
  <si>
    <t>RJ14GL1238</t>
  </si>
  <si>
    <t>RJ14GT8239SW</t>
  </si>
  <si>
    <t>RJ14EB4282NN</t>
  </si>
  <si>
    <t>RJ14GL6306</t>
  </si>
  <si>
    <t>RJ14EA2770</t>
  </si>
  <si>
    <t>SVG20872QRT</t>
  </si>
  <si>
    <t>RJ14GL3945HM</t>
  </si>
  <si>
    <t>REPLACED BY 6232 (GPS ISSUE)</t>
  </si>
  <si>
    <t>RJ05GB3240</t>
  </si>
  <si>
    <t>RJ14GL6309</t>
  </si>
  <si>
    <t>NETWORK ISSUE</t>
  </si>
  <si>
    <t>REPLACED BY 8471 (NOT WORKED)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</si>
</sst>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&quot;KM&quot;"/>
    <numFmt numFmtId="165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9">
    <xf numFmtId="0" fontId="0" fillId="0" borderId="0" xfId="0"/>
    <xf numFmtId="18" fontId="0" fillId="0" borderId="0" xfId="0" applyNumberFormat="1"/>
    <xf numFmtId="21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2" fontId="16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19" fillId="33" borderId="0" xfId="6" applyFont="1" applyFill="1"/>
    <xf numFmtId="0" fontId="19" fillId="33" borderId="10" xfId="6" applyFont="1" applyFill="1" applyBorder="1" applyAlignment="1">
      <alignment horizontal="center" vertical="center"/>
    </xf>
    <xf numFmtId="0" fontId="19" fillId="33" borderId="10" xfId="6" applyFont="1" applyFill="1" applyBorder="1" applyAlignment="1">
      <alignment horizontal="center"/>
    </xf>
    <xf numFmtId="2" fontId="16" fillId="0" borderId="10" xfId="0" applyNumberFormat="1" applyFont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18" fontId="0" fillId="0" borderId="10" xfId="0" applyNumberFormat="1" applyBorder="1" applyAlignment="1">
      <alignment horizontal="center"/>
    </xf>
    <xf numFmtId="21" fontId="0" fillId="0" borderId="10" xfId="0" applyNumberFormat="1" applyBorder="1" applyAlignment="1">
      <alignment horizontal="center"/>
    </xf>
    <xf numFmtId="0" fontId="0" fillId="33" borderId="14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18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164" fontId="20" fillId="33" borderId="10" xfId="0" applyNumberFormat="1" applyFont="1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7" fillId="3" borderId="10" xfId="7" applyBorder="1" applyAlignment="1">
      <alignment horizontal="center" vertical="center"/>
    </xf>
    <xf numFmtId="0" fontId="7" fillId="3" borderId="10" xfId="7" applyBorder="1" applyAlignment="1">
      <alignment horizontal="center"/>
    </xf>
    <xf numFmtId="18" fontId="7" fillId="3" borderId="10" xfId="7" applyNumberFormat="1" applyBorder="1" applyAlignment="1">
      <alignment horizontal="center"/>
    </xf>
    <xf numFmtId="21" fontId="7" fillId="3" borderId="10" xfId="7" applyNumberFormat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21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/>
    </xf>
    <xf numFmtId="18" fontId="0" fillId="37" borderId="10" xfId="0" applyNumberFormat="1" applyFill="1" applyBorder="1" applyAlignment="1">
      <alignment horizontal="center"/>
    </xf>
    <xf numFmtId="21" fontId="0" fillId="37" borderId="10" xfId="0" applyNumberFormat="1" applyFill="1" applyBorder="1" applyAlignment="1">
      <alignment horizontal="center"/>
    </xf>
    <xf numFmtId="0" fontId="19" fillId="2" borderId="10" xfId="6" applyFont="1" applyBorder="1" applyAlignment="1">
      <alignment horizontal="center"/>
    </xf>
    <xf numFmtId="0" fontId="19" fillId="2" borderId="10" xfId="6" applyFont="1" applyBorder="1" applyAlignment="1">
      <alignment horizontal="center" vertical="center"/>
    </xf>
    <xf numFmtId="18" fontId="19" fillId="2" borderId="10" xfId="6" applyNumberFormat="1" applyFont="1" applyBorder="1" applyAlignment="1">
      <alignment horizontal="center"/>
    </xf>
    <xf numFmtId="21" fontId="19" fillId="2" borderId="10" xfId="6" applyNumberFormat="1" applyFont="1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165" fontId="16" fillId="0" borderId="10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165" fontId="16" fillId="34" borderId="10" xfId="0" applyNumberFormat="1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18" fontId="0" fillId="0" borderId="11" xfId="0" applyNumberFormat="1" applyBorder="1" applyAlignment="1">
      <alignment horizontal="center"/>
    </xf>
    <xf numFmtId="18" fontId="0" fillId="0" borderId="12" xfId="0" applyNumberFormat="1" applyBorder="1" applyAlignment="1">
      <alignment horizontal="center"/>
    </xf>
    <xf numFmtId="18" fontId="0" fillId="0" borderId="13" xfId="0" applyNumberFormat="1" applyBorder="1" applyAlignment="1">
      <alignment horizontal="center"/>
    </xf>
    <xf numFmtId="0" fontId="20" fillId="33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left" vertical="center"/>
    </xf>
    <xf numFmtId="0" fontId="16" fillId="34" borderId="11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34" borderId="13" xfId="0" applyFont="1" applyFill="1" applyBorder="1" applyAlignment="1">
      <alignment horizontal="center" vertical="center"/>
    </xf>
    <xf numFmtId="165" fontId="16" fillId="35" borderId="11" xfId="0" applyNumberFormat="1" applyFont="1" applyFill="1" applyBorder="1" applyAlignment="1">
      <alignment horizontal="center" vertical="center"/>
    </xf>
    <xf numFmtId="165" fontId="16" fillId="35" borderId="12" xfId="0" applyNumberFormat="1" applyFont="1" applyFill="1" applyBorder="1" applyAlignment="1">
      <alignment horizontal="center" vertical="center"/>
    </xf>
    <xf numFmtId="165" fontId="16" fillId="35" borderId="13" xfId="0" applyNumberFormat="1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/>
    </xf>
    <xf numFmtId="165" fontId="16" fillId="35" borderId="10" xfId="0" applyNumberFormat="1" applyFont="1" applyFill="1" applyBorder="1" applyAlignment="1">
      <alignment horizontal="center" vertical="center"/>
    </xf>
    <xf numFmtId="165" fontId="16" fillId="36" borderId="10" xfId="0" applyNumberFormat="1" applyFont="1" applyFill="1" applyBorder="1" applyAlignment="1">
      <alignment horizontal="center"/>
    </xf>
    <xf numFmtId="0" fontId="16" fillId="36" borderId="10" xfId="0" applyFont="1" applyFill="1" applyBorder="1" applyAlignment="1">
      <alignment horizontal="center"/>
    </xf>
    <xf numFmtId="0" fontId="16" fillId="36" borderId="11" xfId="0" applyFont="1" applyFill="1" applyBorder="1" applyAlignment="1">
      <alignment horizontal="center"/>
    </xf>
    <xf numFmtId="0" fontId="16" fillId="36" borderId="12" xfId="0" applyFont="1" applyFill="1" applyBorder="1" applyAlignment="1">
      <alignment horizontal="center"/>
    </xf>
    <xf numFmtId="0" fontId="16" fillId="36" borderId="13" xfId="0" applyFont="1" applyFill="1" applyBorder="1" applyAlignment="1">
      <alignment horizontal="center"/>
    </xf>
    <xf numFmtId="18" fontId="0" fillId="0" borderId="11" xfId="0" applyNumberFormat="1" applyBorder="1" applyAlignment="1">
      <alignment horizontal="center" wrapText="1"/>
    </xf>
    <xf numFmtId="18" fontId="0" fillId="0" borderId="12" xfId="0" applyNumberFormat="1" applyBorder="1" applyAlignment="1">
      <alignment horizontal="center" wrapText="1"/>
    </xf>
    <xf numFmtId="18" fontId="0" fillId="0" borderId="13" xfId="0" applyNumberForma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69FB-BCC6-4994-90D0-2808F05D4370}">
  <dimension ref="A1:F590"/>
  <sheetViews>
    <sheetView workbookViewId="0">
      <selection sqref="A1:F572"/>
    </sheetView>
  </sheetViews>
  <sheetFormatPr defaultRowHeight="15" x14ac:dyDescent="0.25"/>
  <cols>
    <col min="1" max="1" width="14.7109375" bestFit="1" customWidth="1"/>
    <col min="2" max="2" width="10" bestFit="1" customWidth="1"/>
    <col min="4" max="4" width="12.140625" bestFit="1" customWidth="1"/>
    <col min="5" max="5" width="18.42578125" bestFit="1" customWidth="1"/>
    <col min="6" max="6" width="21.42578125" bestFit="1" customWidth="1"/>
  </cols>
  <sheetData>
    <row r="1" spans="1:6" x14ac:dyDescent="0.25">
      <c r="A1" t="s">
        <v>1220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1253</v>
      </c>
      <c r="B2" s="1">
        <v>0.31666666666666665</v>
      </c>
      <c r="C2" s="1">
        <v>0.65902777777777777</v>
      </c>
      <c r="D2" s="2">
        <v>0.34174768518518517</v>
      </c>
      <c r="E2">
        <v>134.59</v>
      </c>
      <c r="F2">
        <v>16.41</v>
      </c>
    </row>
    <row r="3" spans="1:6" x14ac:dyDescent="0.25">
      <c r="A3" t="s">
        <v>1219</v>
      </c>
      <c r="B3" s="1">
        <v>0.31458333333333333</v>
      </c>
      <c r="C3" s="1">
        <v>0.65763888888888888</v>
      </c>
      <c r="D3" s="2">
        <v>0.34295138888888888</v>
      </c>
      <c r="E3">
        <v>124.09</v>
      </c>
      <c r="F3">
        <v>15.08</v>
      </c>
    </row>
    <row r="4" spans="1:6" x14ac:dyDescent="0.25">
      <c r="A4" t="s">
        <v>1212</v>
      </c>
      <c r="B4" s="1">
        <v>6.3888888888888884E-2</v>
      </c>
      <c r="C4" s="1">
        <v>0.65625</v>
      </c>
      <c r="D4" s="2">
        <v>0.59222222222222221</v>
      </c>
      <c r="E4">
        <v>115.35</v>
      </c>
      <c r="F4">
        <v>8.1199999999999992</v>
      </c>
    </row>
    <row r="5" spans="1:6" x14ac:dyDescent="0.25">
      <c r="A5" t="s">
        <v>790</v>
      </c>
      <c r="B5" s="1">
        <v>0.31944444444444442</v>
      </c>
      <c r="C5" s="1">
        <v>0.65486111111111112</v>
      </c>
      <c r="D5" s="2">
        <v>0.3354050925925926</v>
      </c>
      <c r="E5">
        <v>114.34</v>
      </c>
      <c r="F5">
        <v>14.2</v>
      </c>
    </row>
    <row r="6" spans="1:6" x14ac:dyDescent="0.25">
      <c r="A6" t="s">
        <v>1262</v>
      </c>
      <c r="B6" s="1">
        <v>0.32291666666666669</v>
      </c>
      <c r="C6" s="1">
        <v>0.65763888888888888</v>
      </c>
      <c r="D6" s="2">
        <v>0.33423611111111112</v>
      </c>
      <c r="E6">
        <v>113.18</v>
      </c>
      <c r="F6">
        <v>14.11</v>
      </c>
    </row>
    <row r="7" spans="1:6" x14ac:dyDescent="0.25">
      <c r="A7" t="s">
        <v>792</v>
      </c>
      <c r="B7" s="1">
        <v>0.35416666666666669</v>
      </c>
      <c r="C7" s="1">
        <v>0.63958333333333328</v>
      </c>
      <c r="D7" s="2">
        <v>0.28553240740740743</v>
      </c>
      <c r="E7">
        <v>110.88</v>
      </c>
      <c r="F7">
        <v>16.18</v>
      </c>
    </row>
    <row r="8" spans="1:6" x14ac:dyDescent="0.25">
      <c r="A8" t="s">
        <v>1180</v>
      </c>
      <c r="B8" s="1">
        <v>0.31805555555555554</v>
      </c>
      <c r="C8" s="1">
        <v>0.66111111111111109</v>
      </c>
      <c r="D8" s="2">
        <v>0.34297453703703706</v>
      </c>
      <c r="E8">
        <v>109.43</v>
      </c>
      <c r="F8">
        <v>13.29</v>
      </c>
    </row>
    <row r="9" spans="1:6" x14ac:dyDescent="0.25">
      <c r="A9" t="s">
        <v>1194</v>
      </c>
      <c r="B9" s="1">
        <v>0.28958333333333336</v>
      </c>
      <c r="C9" s="1">
        <v>0.63888888888888884</v>
      </c>
      <c r="D9" s="2">
        <v>0.34915509259259259</v>
      </c>
      <c r="E9">
        <v>108.5</v>
      </c>
      <c r="F9">
        <v>12.95</v>
      </c>
    </row>
    <row r="10" spans="1:6" x14ac:dyDescent="0.25">
      <c r="A10" t="s">
        <v>1215</v>
      </c>
      <c r="B10" s="1">
        <v>0.32013888888888886</v>
      </c>
      <c r="C10" s="1">
        <v>0.63958333333333328</v>
      </c>
      <c r="D10" s="2">
        <v>0.31995370370370368</v>
      </c>
      <c r="E10">
        <v>105.24</v>
      </c>
      <c r="F10">
        <v>13.71</v>
      </c>
    </row>
    <row r="11" spans="1:6" x14ac:dyDescent="0.25">
      <c r="A11" t="s">
        <v>1217</v>
      </c>
      <c r="B11" s="1">
        <v>0.29236111111111113</v>
      </c>
      <c r="C11" s="1">
        <v>0.65069444444444446</v>
      </c>
      <c r="D11" s="2">
        <v>0.35844907407407406</v>
      </c>
      <c r="E11">
        <v>101.05</v>
      </c>
      <c r="F11">
        <v>11.75</v>
      </c>
    </row>
    <row r="12" spans="1:6" x14ac:dyDescent="0.25">
      <c r="A12" t="s">
        <v>794</v>
      </c>
      <c r="B12" s="1">
        <v>0.35972222222222222</v>
      </c>
      <c r="C12" s="1">
        <v>0.66249999999999998</v>
      </c>
      <c r="D12" s="2">
        <v>0.30318287037037039</v>
      </c>
      <c r="E12">
        <v>98.24</v>
      </c>
      <c r="F12">
        <v>13.5</v>
      </c>
    </row>
    <row r="13" spans="1:6" x14ac:dyDescent="0.25">
      <c r="A13" t="s">
        <v>1218</v>
      </c>
      <c r="B13" s="1">
        <v>0.31041666666666667</v>
      </c>
      <c r="C13" s="1">
        <v>0.65694444444444444</v>
      </c>
      <c r="D13" s="2">
        <v>0.34663194444444445</v>
      </c>
      <c r="E13">
        <v>95</v>
      </c>
      <c r="F13">
        <v>11.42</v>
      </c>
    </row>
    <row r="14" spans="1:6" x14ac:dyDescent="0.25">
      <c r="A14" t="s">
        <v>1213</v>
      </c>
      <c r="B14" s="1">
        <v>0.30763888888888891</v>
      </c>
      <c r="C14" s="1">
        <v>0.59305555555555556</v>
      </c>
      <c r="D14" s="2">
        <v>0.28505787037037039</v>
      </c>
      <c r="E14">
        <v>91.86</v>
      </c>
      <c r="F14">
        <v>13.43</v>
      </c>
    </row>
    <row r="15" spans="1:6" x14ac:dyDescent="0.25">
      <c r="A15" t="s">
        <v>1210</v>
      </c>
      <c r="B15" s="1">
        <v>0.3576388888888889</v>
      </c>
      <c r="C15" s="1">
        <v>0.65763888888888888</v>
      </c>
      <c r="D15" s="2">
        <v>0.30003472222222222</v>
      </c>
      <c r="E15">
        <v>91.8</v>
      </c>
      <c r="F15">
        <v>12.75</v>
      </c>
    </row>
    <row r="16" spans="1:6" x14ac:dyDescent="0.25">
      <c r="A16" t="s">
        <v>1209</v>
      </c>
      <c r="B16" s="1">
        <v>0.29305555555555557</v>
      </c>
      <c r="C16" s="1">
        <v>0.60833333333333328</v>
      </c>
      <c r="D16" s="2">
        <v>0.31520833333333331</v>
      </c>
      <c r="E16">
        <v>91.3</v>
      </c>
      <c r="F16">
        <v>12.07</v>
      </c>
    </row>
    <row r="17" spans="1:6" x14ac:dyDescent="0.25">
      <c r="A17" t="s">
        <v>1214</v>
      </c>
      <c r="B17" s="1">
        <v>0.31736111111111109</v>
      </c>
      <c r="C17" s="1">
        <v>0.65972222222222221</v>
      </c>
      <c r="D17" s="2">
        <v>0.34234953703703702</v>
      </c>
      <c r="E17">
        <v>89.82</v>
      </c>
      <c r="F17">
        <v>10.93</v>
      </c>
    </row>
    <row r="18" spans="1:6" x14ac:dyDescent="0.25">
      <c r="A18" t="s">
        <v>1208</v>
      </c>
      <c r="B18" s="1">
        <v>0.30069444444444443</v>
      </c>
      <c r="C18" s="1">
        <v>0.66180555555555554</v>
      </c>
      <c r="D18" s="2">
        <v>0.36130787037037038</v>
      </c>
      <c r="E18">
        <v>85.65</v>
      </c>
      <c r="F18">
        <v>9.8800000000000008</v>
      </c>
    </row>
    <row r="19" spans="1:6" x14ac:dyDescent="0.25">
      <c r="A19" t="s">
        <v>1188</v>
      </c>
      <c r="B19" s="1">
        <v>0.28680555555555554</v>
      </c>
      <c r="C19" s="1">
        <v>0.65763888888888888</v>
      </c>
      <c r="D19" s="2">
        <v>0.37113425925925925</v>
      </c>
      <c r="E19">
        <v>83</v>
      </c>
      <c r="F19">
        <v>9.32</v>
      </c>
    </row>
    <row r="20" spans="1:6" x14ac:dyDescent="0.25">
      <c r="A20" t="s">
        <v>1205</v>
      </c>
      <c r="B20" s="1">
        <v>0.26111111111111113</v>
      </c>
      <c r="C20" s="1">
        <v>0.65902777777777777</v>
      </c>
      <c r="D20" s="2">
        <v>0.39791666666666664</v>
      </c>
      <c r="E20">
        <v>82.46</v>
      </c>
      <c r="F20">
        <v>8.6300000000000008</v>
      </c>
    </row>
    <row r="21" spans="1:6" x14ac:dyDescent="0.25">
      <c r="A21" t="s">
        <v>1190</v>
      </c>
      <c r="B21" s="1">
        <v>0.27152777777777776</v>
      </c>
      <c r="C21" s="1">
        <v>0.5756944444444444</v>
      </c>
      <c r="D21" s="2">
        <v>0.30408564814814815</v>
      </c>
      <c r="E21">
        <v>82.27</v>
      </c>
      <c r="F21">
        <v>11.27</v>
      </c>
    </row>
    <row r="22" spans="1:6" x14ac:dyDescent="0.25">
      <c r="A22" t="s">
        <v>1052</v>
      </c>
      <c r="B22" s="1">
        <v>0.24444444444444444</v>
      </c>
      <c r="C22" s="1">
        <v>0.49652777777777779</v>
      </c>
      <c r="D22" s="2">
        <v>0.2517476851851852</v>
      </c>
      <c r="E22">
        <v>80.98</v>
      </c>
      <c r="F22">
        <v>13.4</v>
      </c>
    </row>
    <row r="23" spans="1:6" x14ac:dyDescent="0.25">
      <c r="A23" t="s">
        <v>16</v>
      </c>
      <c r="B23" s="1">
        <v>0.25208333333333333</v>
      </c>
      <c r="C23" s="1">
        <v>0.59444444444444444</v>
      </c>
      <c r="D23" s="2">
        <v>0.34262731481481479</v>
      </c>
      <c r="E23">
        <v>80.78</v>
      </c>
      <c r="F23">
        <v>9.82</v>
      </c>
    </row>
    <row r="24" spans="1:6" x14ac:dyDescent="0.25">
      <c r="A24" t="s">
        <v>1051</v>
      </c>
      <c r="B24" s="1">
        <v>0.21805555555555556</v>
      </c>
      <c r="C24" s="1">
        <v>0.62916666666666665</v>
      </c>
      <c r="D24" s="2">
        <v>0.41082175925925923</v>
      </c>
      <c r="E24">
        <v>77.97</v>
      </c>
      <c r="F24">
        <v>7.91</v>
      </c>
    </row>
    <row r="25" spans="1:6" x14ac:dyDescent="0.25">
      <c r="A25" t="s">
        <v>771</v>
      </c>
      <c r="B25" s="1">
        <v>0</v>
      </c>
      <c r="C25" s="1">
        <v>0.66180555555555554</v>
      </c>
      <c r="D25" s="2">
        <v>0.66244212962962967</v>
      </c>
      <c r="E25">
        <v>77.5</v>
      </c>
      <c r="F25">
        <v>4.87</v>
      </c>
    </row>
    <row r="26" spans="1:6" x14ac:dyDescent="0.25">
      <c r="A26" t="s">
        <v>18</v>
      </c>
      <c r="B26" s="1">
        <v>0.26944444444444443</v>
      </c>
      <c r="C26" s="1">
        <v>0.62083333333333335</v>
      </c>
      <c r="D26" s="2">
        <v>0.35130787037037037</v>
      </c>
      <c r="E26">
        <v>76.95</v>
      </c>
      <c r="F26">
        <v>9.1300000000000008</v>
      </c>
    </row>
    <row r="27" spans="1:6" x14ac:dyDescent="0.25">
      <c r="A27" t="s">
        <v>1241</v>
      </c>
      <c r="B27" s="1">
        <v>0.37291666666666667</v>
      </c>
      <c r="C27" s="1">
        <v>0.66319444444444442</v>
      </c>
      <c r="D27" s="2">
        <v>0.29082175925925924</v>
      </c>
      <c r="E27">
        <v>75.75</v>
      </c>
      <c r="F27">
        <v>10.85</v>
      </c>
    </row>
    <row r="28" spans="1:6" x14ac:dyDescent="0.25">
      <c r="A28" t="s">
        <v>929</v>
      </c>
      <c r="B28" s="1">
        <v>0.24583333333333332</v>
      </c>
      <c r="C28" s="1">
        <v>0.65625</v>
      </c>
      <c r="D28" s="2">
        <v>0.41002314814814816</v>
      </c>
      <c r="E28">
        <v>75.069999999999993</v>
      </c>
      <c r="F28">
        <v>7.63</v>
      </c>
    </row>
    <row r="29" spans="1:6" x14ac:dyDescent="0.25">
      <c r="A29" t="s">
        <v>1132</v>
      </c>
      <c r="B29" s="1">
        <v>0.24305555555555555</v>
      </c>
      <c r="C29" s="1">
        <v>0.65972222222222221</v>
      </c>
      <c r="D29" s="2">
        <v>0.41640046296296296</v>
      </c>
      <c r="E29">
        <v>74.84</v>
      </c>
      <c r="F29">
        <v>7.49</v>
      </c>
    </row>
    <row r="30" spans="1:6" x14ac:dyDescent="0.25">
      <c r="A30" t="s">
        <v>1196</v>
      </c>
      <c r="B30" s="1">
        <v>0.15833333333333333</v>
      </c>
      <c r="C30" s="1">
        <v>0.62013888888888891</v>
      </c>
      <c r="D30" s="2">
        <v>0.46172453703703703</v>
      </c>
      <c r="E30">
        <v>71.510000000000005</v>
      </c>
      <c r="F30">
        <v>6.45</v>
      </c>
    </row>
    <row r="31" spans="1:6" x14ac:dyDescent="0.25">
      <c r="A31" t="s">
        <v>1073</v>
      </c>
      <c r="B31" s="1">
        <v>4.6527777777777779E-2</v>
      </c>
      <c r="C31" s="1">
        <v>0.54722222222222228</v>
      </c>
      <c r="D31" s="2">
        <v>0.50100694444444449</v>
      </c>
      <c r="E31">
        <v>70.040000000000006</v>
      </c>
      <c r="F31">
        <v>5.83</v>
      </c>
    </row>
    <row r="32" spans="1:6" x14ac:dyDescent="0.25">
      <c r="A32" t="s">
        <v>1199</v>
      </c>
      <c r="B32" s="1">
        <v>0.26319444444444445</v>
      </c>
      <c r="C32" s="1">
        <v>0.625</v>
      </c>
      <c r="D32" s="2">
        <v>0.36199074074074072</v>
      </c>
      <c r="E32">
        <v>69.55</v>
      </c>
      <c r="F32">
        <v>8.01</v>
      </c>
    </row>
    <row r="33" spans="1:6" x14ac:dyDescent="0.25">
      <c r="A33" t="s">
        <v>1167</v>
      </c>
      <c r="B33" s="1">
        <v>0.28611111111111109</v>
      </c>
      <c r="C33" s="1">
        <v>0.59791666666666665</v>
      </c>
      <c r="D33" s="2">
        <v>0.31232638888888886</v>
      </c>
      <c r="E33">
        <v>68.45</v>
      </c>
      <c r="F33">
        <v>9.1300000000000008</v>
      </c>
    </row>
    <row r="34" spans="1:6" x14ac:dyDescent="0.25">
      <c r="A34" t="s">
        <v>1216</v>
      </c>
      <c r="B34" s="1">
        <v>0.27291666666666664</v>
      </c>
      <c r="C34" s="1">
        <v>0.65833333333333333</v>
      </c>
      <c r="D34" s="2">
        <v>0.38555555555555554</v>
      </c>
      <c r="E34">
        <v>68.02</v>
      </c>
      <c r="F34">
        <v>7.35</v>
      </c>
    </row>
    <row r="35" spans="1:6" x14ac:dyDescent="0.25">
      <c r="A35" t="s">
        <v>1078</v>
      </c>
      <c r="B35" s="1">
        <v>0.3298611111111111</v>
      </c>
      <c r="C35" s="1">
        <v>0.60069444444444442</v>
      </c>
      <c r="D35" s="2">
        <v>0.27100694444444445</v>
      </c>
      <c r="E35">
        <v>67.099999999999994</v>
      </c>
      <c r="F35">
        <v>10.32</v>
      </c>
    </row>
    <row r="36" spans="1:6" x14ac:dyDescent="0.25">
      <c r="A36" t="s">
        <v>39</v>
      </c>
      <c r="B36" s="1">
        <v>0.28263888888888888</v>
      </c>
      <c r="C36" s="1">
        <v>0.64861111111111114</v>
      </c>
      <c r="D36" s="2">
        <v>0.36637731481481484</v>
      </c>
      <c r="E36">
        <v>64.52</v>
      </c>
      <c r="F36">
        <v>7.34</v>
      </c>
    </row>
    <row r="37" spans="1:6" x14ac:dyDescent="0.25">
      <c r="A37" t="s">
        <v>1157</v>
      </c>
      <c r="B37" s="1">
        <v>0.26805555555555555</v>
      </c>
      <c r="C37" s="1">
        <v>0.53125</v>
      </c>
      <c r="D37" s="2">
        <v>0.26350694444444445</v>
      </c>
      <c r="E37">
        <v>64.25</v>
      </c>
      <c r="F37">
        <v>10.16</v>
      </c>
    </row>
    <row r="38" spans="1:6" x14ac:dyDescent="0.25">
      <c r="A38" t="s">
        <v>1191</v>
      </c>
      <c r="B38" s="1">
        <v>0.28472222222222221</v>
      </c>
      <c r="C38" s="1">
        <v>0.50277777777777777</v>
      </c>
      <c r="D38" s="2">
        <v>0.21807870370370369</v>
      </c>
      <c r="E38">
        <v>64.09</v>
      </c>
      <c r="F38">
        <v>12.25</v>
      </c>
    </row>
    <row r="39" spans="1:6" x14ac:dyDescent="0.25">
      <c r="A39" t="s">
        <v>1193</v>
      </c>
      <c r="B39" s="1">
        <v>0.28402777777777777</v>
      </c>
      <c r="C39" s="1">
        <v>0.54791666666666672</v>
      </c>
      <c r="D39" s="2">
        <v>0.26359953703703703</v>
      </c>
      <c r="E39">
        <v>63.3</v>
      </c>
      <c r="F39">
        <v>10.01</v>
      </c>
    </row>
    <row r="40" spans="1:6" x14ac:dyDescent="0.25">
      <c r="A40" t="s">
        <v>1118</v>
      </c>
      <c r="B40" s="1">
        <v>6.458333333333334E-2</v>
      </c>
      <c r="C40" s="1">
        <v>0.6333333333333333</v>
      </c>
      <c r="D40" s="2">
        <v>0.56878472222222221</v>
      </c>
      <c r="E40">
        <v>60.99</v>
      </c>
      <c r="F40">
        <v>4.47</v>
      </c>
    </row>
    <row r="41" spans="1:6" x14ac:dyDescent="0.25">
      <c r="A41" t="s">
        <v>1206</v>
      </c>
      <c r="B41" s="1">
        <v>0.25624999999999998</v>
      </c>
      <c r="C41" s="1">
        <v>0.60416666666666663</v>
      </c>
      <c r="D41" s="2">
        <v>0.34771990740740738</v>
      </c>
      <c r="E41">
        <v>60.97</v>
      </c>
      <c r="F41">
        <v>7.31</v>
      </c>
    </row>
    <row r="42" spans="1:6" x14ac:dyDescent="0.25">
      <c r="A42" t="s">
        <v>17</v>
      </c>
      <c r="B42" s="1">
        <v>0.25972222222222224</v>
      </c>
      <c r="C42" s="1">
        <v>0.51875000000000004</v>
      </c>
      <c r="D42" s="2">
        <v>0.25917824074074075</v>
      </c>
      <c r="E42">
        <v>60.25</v>
      </c>
      <c r="F42">
        <v>9.69</v>
      </c>
    </row>
    <row r="43" spans="1:6" x14ac:dyDescent="0.25">
      <c r="A43" t="s">
        <v>1204</v>
      </c>
      <c r="B43" s="1">
        <v>0.25694444444444442</v>
      </c>
      <c r="C43" s="1">
        <v>0.55277777777777781</v>
      </c>
      <c r="D43" s="2">
        <v>0.29579861111111111</v>
      </c>
      <c r="E43">
        <v>60.22</v>
      </c>
      <c r="F43">
        <v>8.48</v>
      </c>
    </row>
    <row r="44" spans="1:6" x14ac:dyDescent="0.25">
      <c r="A44" t="s">
        <v>1086</v>
      </c>
      <c r="B44" s="1">
        <v>0.27013888888888887</v>
      </c>
      <c r="C44" s="1">
        <v>0.60138888888888886</v>
      </c>
      <c r="D44" s="2">
        <v>0.33120370370370372</v>
      </c>
      <c r="E44">
        <v>60.15</v>
      </c>
      <c r="F44">
        <v>7.57</v>
      </c>
    </row>
    <row r="45" spans="1:6" x14ac:dyDescent="0.25">
      <c r="A45" t="s">
        <v>1182</v>
      </c>
      <c r="B45" s="1">
        <v>0.24652777777777779</v>
      </c>
      <c r="C45" s="1">
        <v>0.6333333333333333</v>
      </c>
      <c r="D45" s="2">
        <v>0.38702546296296297</v>
      </c>
      <c r="E45">
        <v>59.94</v>
      </c>
      <c r="F45">
        <v>6.45</v>
      </c>
    </row>
    <row r="46" spans="1:6" x14ac:dyDescent="0.25">
      <c r="A46" t="s">
        <v>787</v>
      </c>
      <c r="B46" s="1">
        <v>0.30972222222222223</v>
      </c>
      <c r="C46" s="1">
        <v>0.58472222222222225</v>
      </c>
      <c r="D46" s="2">
        <v>0.27510416666666665</v>
      </c>
      <c r="E46">
        <v>59.82</v>
      </c>
      <c r="F46">
        <v>9.06</v>
      </c>
    </row>
    <row r="47" spans="1:6" x14ac:dyDescent="0.25">
      <c r="A47" t="s">
        <v>801</v>
      </c>
      <c r="B47" s="1">
        <v>6.2500000000000003E-3</v>
      </c>
      <c r="C47" s="1">
        <v>0.66041666666666665</v>
      </c>
      <c r="D47" s="2">
        <v>0.65406249999999999</v>
      </c>
      <c r="E47">
        <v>59.13</v>
      </c>
      <c r="F47">
        <v>3.77</v>
      </c>
    </row>
    <row r="48" spans="1:6" x14ac:dyDescent="0.25">
      <c r="A48" t="s">
        <v>1201</v>
      </c>
      <c r="B48" s="1">
        <v>8.4027777777777785E-2</v>
      </c>
      <c r="C48" s="1">
        <v>0.65625</v>
      </c>
      <c r="D48" s="2">
        <v>0.57218749999999996</v>
      </c>
      <c r="E48">
        <v>58.69</v>
      </c>
      <c r="F48">
        <v>4.2699999999999996</v>
      </c>
    </row>
    <row r="49" spans="1:6" x14ac:dyDescent="0.25">
      <c r="A49" t="s">
        <v>1176</v>
      </c>
      <c r="B49" s="1">
        <v>0.29305555555555557</v>
      </c>
      <c r="C49" s="1">
        <v>0.64027777777777772</v>
      </c>
      <c r="D49" s="2">
        <v>0.34684027777777776</v>
      </c>
      <c r="E49">
        <v>57.67</v>
      </c>
      <c r="F49">
        <v>6.93</v>
      </c>
    </row>
    <row r="50" spans="1:6" x14ac:dyDescent="0.25">
      <c r="A50" t="s">
        <v>974</v>
      </c>
      <c r="B50" s="1">
        <v>0.21805555555555556</v>
      </c>
      <c r="C50" s="1">
        <v>0.6430555555555556</v>
      </c>
      <c r="D50" s="2">
        <v>0.42446759259259259</v>
      </c>
      <c r="E50">
        <v>57.42</v>
      </c>
      <c r="F50">
        <v>5.64</v>
      </c>
    </row>
    <row r="51" spans="1:6" x14ac:dyDescent="0.25">
      <c r="A51" t="s">
        <v>1200</v>
      </c>
      <c r="B51" s="1">
        <v>0.26527777777777778</v>
      </c>
      <c r="C51" s="1">
        <v>0.52638888888888891</v>
      </c>
      <c r="D51" s="2">
        <v>0.26112268518518517</v>
      </c>
      <c r="E51">
        <v>57</v>
      </c>
      <c r="F51">
        <v>9.1</v>
      </c>
    </row>
    <row r="52" spans="1:6" x14ac:dyDescent="0.25">
      <c r="A52" t="s">
        <v>1244</v>
      </c>
      <c r="B52" s="1">
        <v>0.32500000000000001</v>
      </c>
      <c r="C52" s="1">
        <v>0.66111111111111109</v>
      </c>
      <c r="D52" s="2">
        <v>0.33620370370370373</v>
      </c>
      <c r="E52">
        <v>56.83</v>
      </c>
      <c r="F52">
        <v>7.04</v>
      </c>
    </row>
    <row r="53" spans="1:6" x14ac:dyDescent="0.25">
      <c r="A53" t="s">
        <v>1076</v>
      </c>
      <c r="B53" s="1">
        <v>0</v>
      </c>
      <c r="C53" s="1">
        <v>0.61319444444444449</v>
      </c>
      <c r="D53" s="2">
        <v>0.61321759259259256</v>
      </c>
      <c r="E53">
        <v>56.23</v>
      </c>
      <c r="F53">
        <v>3.82</v>
      </c>
    </row>
    <row r="54" spans="1:6" x14ac:dyDescent="0.25">
      <c r="A54" t="s">
        <v>1115</v>
      </c>
      <c r="B54" s="1">
        <v>0.2722222222222222</v>
      </c>
      <c r="C54" s="1">
        <v>0.53194444444444444</v>
      </c>
      <c r="D54" s="2">
        <v>0.25953703703703701</v>
      </c>
      <c r="E54">
        <v>55.87</v>
      </c>
      <c r="F54">
        <v>8.9700000000000006</v>
      </c>
    </row>
    <row r="55" spans="1:6" x14ac:dyDescent="0.25">
      <c r="A55" t="s">
        <v>1158</v>
      </c>
      <c r="B55" s="1">
        <v>0.27083333333333331</v>
      </c>
      <c r="C55" s="1">
        <v>0.56180555555555556</v>
      </c>
      <c r="D55" s="2">
        <v>0.29141203703703705</v>
      </c>
      <c r="E55">
        <v>54.88</v>
      </c>
      <c r="F55">
        <v>7.85</v>
      </c>
    </row>
    <row r="56" spans="1:6" x14ac:dyDescent="0.25">
      <c r="A56" t="s">
        <v>1184</v>
      </c>
      <c r="B56" s="1">
        <v>0.26319444444444445</v>
      </c>
      <c r="C56" s="1">
        <v>0.66249999999999998</v>
      </c>
      <c r="D56" s="2">
        <v>0.39922453703703703</v>
      </c>
      <c r="E56">
        <v>54.88</v>
      </c>
      <c r="F56">
        <v>5.73</v>
      </c>
    </row>
    <row r="57" spans="1:6" x14ac:dyDescent="0.25">
      <c r="A57" t="s">
        <v>1068</v>
      </c>
      <c r="B57" s="1">
        <v>0.26111111111111113</v>
      </c>
      <c r="C57" s="1">
        <v>0.60416666666666663</v>
      </c>
      <c r="D57" s="2">
        <v>0.34322916666666664</v>
      </c>
      <c r="E57">
        <v>54.67</v>
      </c>
      <c r="F57">
        <v>6.64</v>
      </c>
    </row>
    <row r="58" spans="1:6" x14ac:dyDescent="0.25">
      <c r="A58" t="s">
        <v>1198</v>
      </c>
      <c r="B58" s="1">
        <v>9.7222222222222224E-3</v>
      </c>
      <c r="C58" s="1">
        <v>0.65625</v>
      </c>
      <c r="D58" s="2">
        <v>0.64657407407407408</v>
      </c>
      <c r="E58">
        <v>54.38</v>
      </c>
      <c r="F58">
        <v>3.5</v>
      </c>
    </row>
    <row r="59" spans="1:6" x14ac:dyDescent="0.25">
      <c r="A59" t="s">
        <v>1144</v>
      </c>
      <c r="B59" s="1">
        <v>0.33333333333333331</v>
      </c>
      <c r="C59" s="1">
        <v>0.5708333333333333</v>
      </c>
      <c r="D59" s="2">
        <v>0.2371875</v>
      </c>
      <c r="E59">
        <v>54.05</v>
      </c>
      <c r="F59">
        <v>9.49</v>
      </c>
    </row>
    <row r="60" spans="1:6" x14ac:dyDescent="0.25">
      <c r="A60" t="s">
        <v>877</v>
      </c>
      <c r="B60" s="1">
        <v>0.27777777777777779</v>
      </c>
      <c r="C60" s="1">
        <v>0.63749999999999996</v>
      </c>
      <c r="D60" s="2">
        <v>0.35971064814814813</v>
      </c>
      <c r="E60">
        <v>53.99</v>
      </c>
      <c r="F60">
        <v>6.25</v>
      </c>
    </row>
    <row r="61" spans="1:6" x14ac:dyDescent="0.25">
      <c r="A61" t="s">
        <v>890</v>
      </c>
      <c r="B61" s="1">
        <v>0.25</v>
      </c>
      <c r="C61" s="1">
        <v>0.49375000000000002</v>
      </c>
      <c r="D61" s="2">
        <v>0.24355324074074075</v>
      </c>
      <c r="E61">
        <v>53.75</v>
      </c>
      <c r="F61">
        <v>9.1999999999999993</v>
      </c>
    </row>
    <row r="62" spans="1:6" x14ac:dyDescent="0.25">
      <c r="A62" t="s">
        <v>1108</v>
      </c>
      <c r="B62" s="1">
        <v>0.3125</v>
      </c>
      <c r="C62" s="1">
        <v>0.63194444444444442</v>
      </c>
      <c r="D62" s="2">
        <v>0.31981481481481483</v>
      </c>
      <c r="E62">
        <v>53.68</v>
      </c>
      <c r="F62">
        <v>6.99</v>
      </c>
    </row>
    <row r="63" spans="1:6" x14ac:dyDescent="0.25">
      <c r="A63" t="s">
        <v>1203</v>
      </c>
      <c r="B63" s="1">
        <v>0.28402777777777777</v>
      </c>
      <c r="C63" s="1">
        <v>0.58611111111111114</v>
      </c>
      <c r="D63" s="2">
        <v>0.30174768518518519</v>
      </c>
      <c r="E63">
        <v>53.53</v>
      </c>
      <c r="F63">
        <v>7.39</v>
      </c>
    </row>
    <row r="64" spans="1:6" x14ac:dyDescent="0.25">
      <c r="A64" t="s">
        <v>796</v>
      </c>
      <c r="B64" s="1">
        <v>9.0277777777777769E-3</v>
      </c>
      <c r="C64" s="1">
        <v>0.58472222222222225</v>
      </c>
      <c r="D64" s="2">
        <v>0.57568287037037036</v>
      </c>
      <c r="E64">
        <v>52.75</v>
      </c>
      <c r="F64">
        <v>3.82</v>
      </c>
    </row>
    <row r="65" spans="1:6" x14ac:dyDescent="0.25">
      <c r="A65" t="s">
        <v>1107</v>
      </c>
      <c r="B65" s="1">
        <v>0.28541666666666665</v>
      </c>
      <c r="C65" s="1">
        <v>0.65763888888888888</v>
      </c>
      <c r="D65" s="2">
        <v>0.37197916666666669</v>
      </c>
      <c r="E65">
        <v>52.57</v>
      </c>
      <c r="F65">
        <v>5.89</v>
      </c>
    </row>
    <row r="66" spans="1:6" x14ac:dyDescent="0.25">
      <c r="A66" t="s">
        <v>45</v>
      </c>
      <c r="B66" s="1">
        <v>0.25</v>
      </c>
      <c r="C66" s="1">
        <v>0.46944444444444444</v>
      </c>
      <c r="D66" s="2">
        <v>0.22002314814814813</v>
      </c>
      <c r="E66">
        <v>52.25</v>
      </c>
      <c r="F66">
        <v>9.9</v>
      </c>
    </row>
    <row r="67" spans="1:6" x14ac:dyDescent="0.25">
      <c r="A67" t="s">
        <v>1079</v>
      </c>
      <c r="B67" s="1">
        <v>0.2590277777777778</v>
      </c>
      <c r="C67" s="1">
        <v>0.65902777777777777</v>
      </c>
      <c r="D67" s="2">
        <v>0.40021990740740743</v>
      </c>
      <c r="E67">
        <v>52.25</v>
      </c>
      <c r="F67">
        <v>5.44</v>
      </c>
    </row>
    <row r="68" spans="1:6" x14ac:dyDescent="0.25">
      <c r="A68" t="s">
        <v>1246</v>
      </c>
      <c r="B68" s="1">
        <v>0.26597222222222222</v>
      </c>
      <c r="C68" s="1">
        <v>0.54166666666666663</v>
      </c>
      <c r="D68" s="2">
        <v>0.27543981481481483</v>
      </c>
      <c r="E68">
        <v>52.18</v>
      </c>
      <c r="F68">
        <v>7.89</v>
      </c>
    </row>
    <row r="69" spans="1:6" x14ac:dyDescent="0.25">
      <c r="A69" t="s">
        <v>22</v>
      </c>
      <c r="B69" s="1">
        <v>0.29722222222222222</v>
      </c>
      <c r="C69" s="1">
        <v>0.48888888888888887</v>
      </c>
      <c r="D69" s="2">
        <v>0.19137731481481482</v>
      </c>
      <c r="E69">
        <v>51.94</v>
      </c>
      <c r="F69">
        <v>11.31</v>
      </c>
    </row>
    <row r="70" spans="1:6" x14ac:dyDescent="0.25">
      <c r="A70" t="s">
        <v>1149</v>
      </c>
      <c r="B70" s="1">
        <v>0.24374999999999999</v>
      </c>
      <c r="C70" s="1">
        <v>0.64722222222222225</v>
      </c>
      <c r="D70" s="2">
        <v>0.40349537037037037</v>
      </c>
      <c r="E70">
        <v>51.64</v>
      </c>
      <c r="F70">
        <v>5.33</v>
      </c>
    </row>
    <row r="71" spans="1:6" x14ac:dyDescent="0.25">
      <c r="A71" t="s">
        <v>1099</v>
      </c>
      <c r="B71" s="1">
        <v>0.30972222222222223</v>
      </c>
      <c r="C71" s="1">
        <v>0.64861111111111114</v>
      </c>
      <c r="D71" s="2">
        <v>0.33861111111111108</v>
      </c>
      <c r="E71">
        <v>51.52</v>
      </c>
      <c r="F71">
        <v>6.34</v>
      </c>
    </row>
    <row r="72" spans="1:6" x14ac:dyDescent="0.25">
      <c r="A72" t="s">
        <v>784</v>
      </c>
      <c r="B72" s="1">
        <v>0.38055555555555554</v>
      </c>
      <c r="C72" s="1">
        <v>0.56597222222222221</v>
      </c>
      <c r="D72" s="2">
        <v>0.18535879629629629</v>
      </c>
      <c r="E72">
        <v>51.46</v>
      </c>
      <c r="F72">
        <v>11.57</v>
      </c>
    </row>
    <row r="73" spans="1:6" x14ac:dyDescent="0.25">
      <c r="A73" t="s">
        <v>1123</v>
      </c>
      <c r="B73" s="1">
        <v>0.22569444444444445</v>
      </c>
      <c r="C73" s="1">
        <v>0.66249999999999998</v>
      </c>
      <c r="D73" s="2">
        <v>0.43668981481481484</v>
      </c>
      <c r="E73">
        <v>51.16</v>
      </c>
      <c r="F73">
        <v>4.88</v>
      </c>
    </row>
    <row r="74" spans="1:6" x14ac:dyDescent="0.25">
      <c r="A74" t="s">
        <v>1171</v>
      </c>
      <c r="B74" s="1">
        <v>2.5000000000000001E-2</v>
      </c>
      <c r="C74" s="1">
        <v>0.55347222222222225</v>
      </c>
      <c r="D74" s="2">
        <v>0.52859953703703699</v>
      </c>
      <c r="E74">
        <v>51.1</v>
      </c>
      <c r="F74">
        <v>4.03</v>
      </c>
    </row>
    <row r="75" spans="1:6" x14ac:dyDescent="0.25">
      <c r="A75" t="s">
        <v>1174</v>
      </c>
      <c r="B75" s="1">
        <v>0.24722222222222223</v>
      </c>
      <c r="C75" s="1">
        <v>0.54861111111111116</v>
      </c>
      <c r="D75" s="2">
        <v>0.30127314814814815</v>
      </c>
      <c r="E75">
        <v>50.97</v>
      </c>
      <c r="F75">
        <v>7.05</v>
      </c>
    </row>
    <row r="76" spans="1:6" x14ac:dyDescent="0.25">
      <c r="A76" t="s">
        <v>1170</v>
      </c>
      <c r="B76" s="1">
        <v>0.27916666666666667</v>
      </c>
      <c r="C76" s="1">
        <v>0.4826388888888889</v>
      </c>
      <c r="D76" s="2">
        <v>0.20305555555555554</v>
      </c>
      <c r="E76">
        <v>50.95</v>
      </c>
      <c r="F76">
        <v>10.45</v>
      </c>
    </row>
    <row r="77" spans="1:6" x14ac:dyDescent="0.25">
      <c r="A77" t="s">
        <v>14</v>
      </c>
      <c r="B77" s="1">
        <v>0.23055555555555557</v>
      </c>
      <c r="C77" s="1">
        <v>0.58750000000000002</v>
      </c>
      <c r="D77" s="2">
        <v>0.35754629629629631</v>
      </c>
      <c r="E77">
        <v>50.22</v>
      </c>
      <c r="F77">
        <v>5.85</v>
      </c>
    </row>
    <row r="78" spans="1:6" x14ac:dyDescent="0.25">
      <c r="A78" t="s">
        <v>1163</v>
      </c>
      <c r="B78" s="1">
        <v>0.27916666666666667</v>
      </c>
      <c r="C78" s="1">
        <v>0.58472222222222225</v>
      </c>
      <c r="D78" s="2">
        <v>0.30574074074074076</v>
      </c>
      <c r="E78">
        <v>49.64</v>
      </c>
      <c r="F78">
        <v>6.77</v>
      </c>
    </row>
    <row r="79" spans="1:6" x14ac:dyDescent="0.25">
      <c r="A79" t="s">
        <v>119</v>
      </c>
      <c r="B79" s="1">
        <v>0.25694444444444442</v>
      </c>
      <c r="C79" s="1">
        <v>0.6118055555555556</v>
      </c>
      <c r="D79" s="2">
        <v>0.35457175925925927</v>
      </c>
      <c r="E79">
        <v>49.59</v>
      </c>
      <c r="F79">
        <v>5.83</v>
      </c>
    </row>
    <row r="80" spans="1:6" x14ac:dyDescent="0.25">
      <c r="A80" t="s">
        <v>1131</v>
      </c>
      <c r="B80" s="1">
        <v>0.29722222222222222</v>
      </c>
      <c r="C80" s="1">
        <v>0.65277777777777779</v>
      </c>
      <c r="D80" s="2">
        <v>0.35600694444444442</v>
      </c>
      <c r="E80">
        <v>49.39</v>
      </c>
      <c r="F80">
        <v>5.78</v>
      </c>
    </row>
    <row r="81" spans="1:6" x14ac:dyDescent="0.25">
      <c r="A81" t="s">
        <v>11</v>
      </c>
      <c r="B81" s="1">
        <v>0.27152777777777776</v>
      </c>
      <c r="C81" s="1">
        <v>0.48749999999999999</v>
      </c>
      <c r="D81" s="2">
        <v>0.21635416666666665</v>
      </c>
      <c r="E81">
        <v>49.2</v>
      </c>
      <c r="F81">
        <v>9.4700000000000006</v>
      </c>
    </row>
    <row r="82" spans="1:6" x14ac:dyDescent="0.25">
      <c r="A82" t="s">
        <v>953</v>
      </c>
      <c r="B82" s="1">
        <v>0.26874999999999999</v>
      </c>
      <c r="C82" s="1">
        <v>0.65694444444444444</v>
      </c>
      <c r="D82" s="2">
        <v>0.38872685185185185</v>
      </c>
      <c r="E82">
        <v>49</v>
      </c>
      <c r="F82">
        <v>5.25</v>
      </c>
    </row>
    <row r="83" spans="1:6" x14ac:dyDescent="0.25">
      <c r="A83" t="s">
        <v>1161</v>
      </c>
      <c r="B83" s="1">
        <v>0.28194444444444444</v>
      </c>
      <c r="C83" s="1">
        <v>0.61527777777777781</v>
      </c>
      <c r="D83" s="2">
        <v>0.33363425925925927</v>
      </c>
      <c r="E83">
        <v>48.41</v>
      </c>
      <c r="F83">
        <v>6.05</v>
      </c>
    </row>
    <row r="84" spans="1:6" x14ac:dyDescent="0.25">
      <c r="A84" t="s">
        <v>1146</v>
      </c>
      <c r="B84" s="1">
        <v>0.27500000000000002</v>
      </c>
      <c r="C84" s="1">
        <v>0.58125000000000004</v>
      </c>
      <c r="D84" s="2">
        <v>0.30577546296296299</v>
      </c>
      <c r="E84">
        <v>48.4</v>
      </c>
      <c r="F84">
        <v>6.6</v>
      </c>
    </row>
    <row r="85" spans="1:6" x14ac:dyDescent="0.25">
      <c r="A85" t="s">
        <v>1145</v>
      </c>
      <c r="B85" s="1">
        <v>1.2500000000000001E-2</v>
      </c>
      <c r="C85" s="1">
        <v>0.61875000000000002</v>
      </c>
      <c r="D85" s="2">
        <v>0.60668981481481477</v>
      </c>
      <c r="E85">
        <v>48.06</v>
      </c>
      <c r="F85">
        <v>3.3</v>
      </c>
    </row>
    <row r="86" spans="1:6" x14ac:dyDescent="0.25">
      <c r="A86" t="s">
        <v>1250</v>
      </c>
      <c r="B86" s="1">
        <v>0.28611111111111109</v>
      </c>
      <c r="C86" s="1">
        <v>0.63611111111111107</v>
      </c>
      <c r="D86" s="2">
        <v>0.34991898148148148</v>
      </c>
      <c r="E86">
        <v>48.01</v>
      </c>
      <c r="F86">
        <v>5.72</v>
      </c>
    </row>
    <row r="87" spans="1:6" x14ac:dyDescent="0.25">
      <c r="A87" t="s">
        <v>1038</v>
      </c>
      <c r="B87" s="1">
        <v>0.25833333333333336</v>
      </c>
      <c r="C87" s="1">
        <v>0.60277777777777775</v>
      </c>
      <c r="D87" s="2">
        <v>0.34482638888888889</v>
      </c>
      <c r="E87">
        <v>47.91</v>
      </c>
      <c r="F87">
        <v>5.79</v>
      </c>
    </row>
    <row r="88" spans="1:6" x14ac:dyDescent="0.25">
      <c r="A88" t="s">
        <v>1141</v>
      </c>
      <c r="B88" s="1">
        <v>0.27708333333333335</v>
      </c>
      <c r="C88" s="1">
        <v>0.50208333333333333</v>
      </c>
      <c r="D88" s="2">
        <v>0.22467592592592592</v>
      </c>
      <c r="E88">
        <v>47.79</v>
      </c>
      <c r="F88">
        <v>8.86</v>
      </c>
    </row>
    <row r="89" spans="1:6" x14ac:dyDescent="0.25">
      <c r="A89" t="s">
        <v>1124</v>
      </c>
      <c r="B89" s="1">
        <v>1.3194444444444444E-2</v>
      </c>
      <c r="C89" s="1">
        <v>0.58819444444444446</v>
      </c>
      <c r="D89" s="2">
        <v>0.57552083333333337</v>
      </c>
      <c r="E89">
        <v>47.77</v>
      </c>
      <c r="F89">
        <v>3.46</v>
      </c>
    </row>
    <row r="90" spans="1:6" x14ac:dyDescent="0.25">
      <c r="A90" t="s">
        <v>1178</v>
      </c>
      <c r="B90" s="1">
        <v>0.24166666666666667</v>
      </c>
      <c r="C90" s="1">
        <v>0.56874999999999998</v>
      </c>
      <c r="D90" s="2">
        <v>0.32700231481481479</v>
      </c>
      <c r="E90">
        <v>47.69</v>
      </c>
      <c r="F90">
        <v>6.08</v>
      </c>
    </row>
    <row r="91" spans="1:6" x14ac:dyDescent="0.25">
      <c r="A91" t="s">
        <v>1160</v>
      </c>
      <c r="B91" s="1">
        <v>0.23958333333333334</v>
      </c>
      <c r="C91" s="1">
        <v>0.51111111111111107</v>
      </c>
      <c r="D91" s="2">
        <v>0.27108796296296295</v>
      </c>
      <c r="E91">
        <v>47.04</v>
      </c>
      <c r="F91">
        <v>7.23</v>
      </c>
    </row>
    <row r="92" spans="1:6" x14ac:dyDescent="0.25">
      <c r="A92" t="s">
        <v>1186</v>
      </c>
      <c r="B92" s="1">
        <v>0</v>
      </c>
      <c r="C92" s="1">
        <v>0.51666666666666672</v>
      </c>
      <c r="D92" s="2">
        <v>0.51688657407407412</v>
      </c>
      <c r="E92">
        <v>46.87</v>
      </c>
      <c r="F92">
        <v>3.78</v>
      </c>
    </row>
    <row r="93" spans="1:6" x14ac:dyDescent="0.25">
      <c r="A93" t="s">
        <v>1065</v>
      </c>
      <c r="B93" s="1">
        <v>0.30486111111111114</v>
      </c>
      <c r="C93" s="1">
        <v>0.65694444444444444</v>
      </c>
      <c r="D93" s="2">
        <v>0.35211805555555553</v>
      </c>
      <c r="E93">
        <v>46.85</v>
      </c>
      <c r="F93">
        <v>5.54</v>
      </c>
    </row>
    <row r="94" spans="1:6" x14ac:dyDescent="0.25">
      <c r="A94" t="s">
        <v>1121</v>
      </c>
      <c r="B94" s="1">
        <v>0.24861111111111112</v>
      </c>
      <c r="C94" s="1">
        <v>0.63611111111111107</v>
      </c>
      <c r="D94" s="2">
        <v>0.38746527777777778</v>
      </c>
      <c r="E94">
        <v>46.75</v>
      </c>
      <c r="F94">
        <v>5.03</v>
      </c>
    </row>
    <row r="95" spans="1:6" x14ac:dyDescent="0.25">
      <c r="A95" t="s">
        <v>1028</v>
      </c>
      <c r="B95" s="1">
        <v>0.18263888888888888</v>
      </c>
      <c r="C95" s="1">
        <v>0.6479166666666667</v>
      </c>
      <c r="D95" s="2">
        <v>0.46537037037037038</v>
      </c>
      <c r="E95">
        <v>46.25</v>
      </c>
      <c r="F95">
        <v>4.1399999999999997</v>
      </c>
    </row>
    <row r="96" spans="1:6" x14ac:dyDescent="0.25">
      <c r="A96" t="s">
        <v>1116</v>
      </c>
      <c r="B96" s="1">
        <v>0.25624999999999998</v>
      </c>
      <c r="C96" s="1">
        <v>0.53541666666666665</v>
      </c>
      <c r="D96" s="2">
        <v>0.27883101851851849</v>
      </c>
      <c r="E96">
        <v>46.2</v>
      </c>
      <c r="F96">
        <v>6.9</v>
      </c>
    </row>
    <row r="97" spans="1:6" x14ac:dyDescent="0.25">
      <c r="A97" t="s">
        <v>1175</v>
      </c>
      <c r="B97" s="1">
        <v>0.24513888888888888</v>
      </c>
      <c r="C97" s="1">
        <v>0.66249999999999998</v>
      </c>
      <c r="D97" s="2">
        <v>0.41765046296296299</v>
      </c>
      <c r="E97">
        <v>46.18</v>
      </c>
      <c r="F97">
        <v>4.6100000000000003</v>
      </c>
    </row>
    <row r="98" spans="1:6" x14ac:dyDescent="0.25">
      <c r="A98" t="s">
        <v>1057</v>
      </c>
      <c r="B98" s="1">
        <v>0.29097222222222224</v>
      </c>
      <c r="C98" s="1">
        <v>0.57361111111111107</v>
      </c>
      <c r="D98" s="2">
        <v>0.28278935185185183</v>
      </c>
      <c r="E98">
        <v>46.06</v>
      </c>
      <c r="F98">
        <v>6.79</v>
      </c>
    </row>
    <row r="99" spans="1:6" x14ac:dyDescent="0.25">
      <c r="A99" t="s">
        <v>1126</v>
      </c>
      <c r="B99" s="1">
        <v>0.26527777777777778</v>
      </c>
      <c r="C99" s="1">
        <v>0.48749999999999999</v>
      </c>
      <c r="D99" s="2">
        <v>0.22277777777777777</v>
      </c>
      <c r="E99">
        <v>45.96</v>
      </c>
      <c r="F99">
        <v>8.6</v>
      </c>
    </row>
    <row r="100" spans="1:6" x14ac:dyDescent="0.25">
      <c r="A100" t="s">
        <v>1023</v>
      </c>
      <c r="B100" s="1">
        <v>0.28888888888888886</v>
      </c>
      <c r="C100" s="1">
        <v>0.64583333333333337</v>
      </c>
      <c r="D100" s="2">
        <v>0.3573263888888889</v>
      </c>
      <c r="E100">
        <v>45.8</v>
      </c>
      <c r="F100">
        <v>5.34</v>
      </c>
    </row>
    <row r="101" spans="1:6" x14ac:dyDescent="0.25">
      <c r="A101" t="s">
        <v>8</v>
      </c>
      <c r="B101" s="1">
        <v>0.24305555555555555</v>
      </c>
      <c r="C101" s="1">
        <v>0.49722222222222223</v>
      </c>
      <c r="D101" s="2">
        <v>0.25458333333333333</v>
      </c>
      <c r="E101">
        <v>45.51</v>
      </c>
      <c r="F101">
        <v>7.45</v>
      </c>
    </row>
    <row r="102" spans="1:6" x14ac:dyDescent="0.25">
      <c r="A102" t="s">
        <v>1166</v>
      </c>
      <c r="B102" s="1">
        <v>0.3527777777777778</v>
      </c>
      <c r="C102" s="1">
        <v>0.63611111111111107</v>
      </c>
      <c r="D102" s="2">
        <v>0.28339120370370369</v>
      </c>
      <c r="E102">
        <v>45.49</v>
      </c>
      <c r="F102">
        <v>6.69</v>
      </c>
    </row>
    <row r="103" spans="1:6" x14ac:dyDescent="0.25">
      <c r="A103" t="s">
        <v>1151</v>
      </c>
      <c r="B103" s="1">
        <v>0.26666666666666666</v>
      </c>
      <c r="C103" s="1">
        <v>0.57152777777777775</v>
      </c>
      <c r="D103" s="2">
        <v>0.3044560185185185</v>
      </c>
      <c r="E103">
        <v>45.41</v>
      </c>
      <c r="F103">
        <v>6.21</v>
      </c>
    </row>
    <row r="104" spans="1:6" x14ac:dyDescent="0.25">
      <c r="A104" t="s">
        <v>1207</v>
      </c>
      <c r="B104" s="1">
        <v>0.28541666666666665</v>
      </c>
      <c r="C104" s="1">
        <v>0.63124999999999998</v>
      </c>
      <c r="D104" s="2">
        <v>0.34597222222222224</v>
      </c>
      <c r="E104">
        <v>45.37</v>
      </c>
      <c r="F104">
        <v>5.46</v>
      </c>
    </row>
    <row r="105" spans="1:6" x14ac:dyDescent="0.25">
      <c r="A105" t="s">
        <v>1127</v>
      </c>
      <c r="B105" s="1">
        <v>0.30416666666666664</v>
      </c>
      <c r="C105" s="1">
        <v>0.62361111111111112</v>
      </c>
      <c r="D105" s="2">
        <v>0.31927083333333334</v>
      </c>
      <c r="E105">
        <v>45.3</v>
      </c>
      <c r="F105">
        <v>5.91</v>
      </c>
    </row>
    <row r="106" spans="1:6" x14ac:dyDescent="0.25">
      <c r="A106" t="s">
        <v>1135</v>
      </c>
      <c r="B106" s="1">
        <v>0.26666666666666666</v>
      </c>
      <c r="C106" s="1">
        <v>0.54236111111111107</v>
      </c>
      <c r="D106" s="2">
        <v>0.27545138888888887</v>
      </c>
      <c r="E106">
        <v>44.7</v>
      </c>
      <c r="F106">
        <v>6.76</v>
      </c>
    </row>
    <row r="107" spans="1:6" x14ac:dyDescent="0.25">
      <c r="A107" t="s">
        <v>1165</v>
      </c>
      <c r="B107" s="1">
        <v>0.28472222222222221</v>
      </c>
      <c r="C107" s="1">
        <v>0.49722222222222223</v>
      </c>
      <c r="D107" s="2">
        <v>0.21231481481481482</v>
      </c>
      <c r="E107">
        <v>44.65</v>
      </c>
      <c r="F107">
        <v>8.76</v>
      </c>
    </row>
    <row r="108" spans="1:6" x14ac:dyDescent="0.25">
      <c r="A108" t="s">
        <v>1044</v>
      </c>
      <c r="B108" s="1">
        <v>0.11874999999999999</v>
      </c>
      <c r="C108" s="1">
        <v>0.6069444444444444</v>
      </c>
      <c r="D108" s="2">
        <v>0.48803240740740739</v>
      </c>
      <c r="E108">
        <v>44.62</v>
      </c>
      <c r="F108">
        <v>3.81</v>
      </c>
    </row>
    <row r="109" spans="1:6" x14ac:dyDescent="0.25">
      <c r="A109" t="s">
        <v>1164</v>
      </c>
      <c r="B109" s="1">
        <v>0.30902777777777779</v>
      </c>
      <c r="C109" s="1">
        <v>0.50347222222222221</v>
      </c>
      <c r="D109" s="2">
        <v>0.19422453703703704</v>
      </c>
      <c r="E109">
        <v>44.61</v>
      </c>
      <c r="F109">
        <v>9.57</v>
      </c>
    </row>
    <row r="110" spans="1:6" x14ac:dyDescent="0.25">
      <c r="A110" t="s">
        <v>946</v>
      </c>
      <c r="B110" s="1">
        <v>0.2638888888888889</v>
      </c>
      <c r="C110" s="1">
        <v>0.44305555555555554</v>
      </c>
      <c r="D110" s="2">
        <v>0.17905092592592592</v>
      </c>
      <c r="E110">
        <v>44.12</v>
      </c>
      <c r="F110">
        <v>10.27</v>
      </c>
    </row>
    <row r="111" spans="1:6" x14ac:dyDescent="0.25">
      <c r="A111" t="s">
        <v>1092</v>
      </c>
      <c r="B111" s="1">
        <v>0.30694444444444446</v>
      </c>
      <c r="C111" s="1">
        <v>0.6381944444444444</v>
      </c>
      <c r="D111" s="2">
        <v>0.33101851851851855</v>
      </c>
      <c r="E111">
        <v>43.95</v>
      </c>
      <c r="F111">
        <v>5.53</v>
      </c>
    </row>
    <row r="112" spans="1:6" x14ac:dyDescent="0.25">
      <c r="A112" t="s">
        <v>1020</v>
      </c>
      <c r="B112" s="1">
        <v>0.31388888888888888</v>
      </c>
      <c r="C112" s="1">
        <v>0.61458333333333337</v>
      </c>
      <c r="D112" s="2">
        <v>0.30068287037037039</v>
      </c>
      <c r="E112">
        <v>43.93</v>
      </c>
      <c r="F112">
        <v>6.09</v>
      </c>
    </row>
    <row r="113" spans="1:6" x14ac:dyDescent="0.25">
      <c r="A113" t="s">
        <v>1181</v>
      </c>
      <c r="B113" s="1">
        <v>0.30625000000000002</v>
      </c>
      <c r="C113" s="1">
        <v>0.56319444444444444</v>
      </c>
      <c r="D113" s="2">
        <v>0.2570486111111111</v>
      </c>
      <c r="E113">
        <v>43.77</v>
      </c>
      <c r="F113">
        <v>7.1</v>
      </c>
    </row>
    <row r="114" spans="1:6" x14ac:dyDescent="0.25">
      <c r="A114" t="s">
        <v>36</v>
      </c>
      <c r="B114" s="1">
        <v>0.24583333333333332</v>
      </c>
      <c r="C114" s="1">
        <v>0.57638888888888884</v>
      </c>
      <c r="D114" s="2">
        <v>0.33069444444444446</v>
      </c>
      <c r="E114">
        <v>43.72</v>
      </c>
      <c r="F114">
        <v>5.51</v>
      </c>
    </row>
    <row r="115" spans="1:6" x14ac:dyDescent="0.25">
      <c r="A115" t="s">
        <v>1168</v>
      </c>
      <c r="B115" s="1">
        <v>0.24652777777777779</v>
      </c>
      <c r="C115" s="1">
        <v>0.53611111111111109</v>
      </c>
      <c r="D115" s="2">
        <v>0.28945601851851854</v>
      </c>
      <c r="E115">
        <v>43.69</v>
      </c>
      <c r="F115">
        <v>6.29</v>
      </c>
    </row>
    <row r="116" spans="1:6" x14ac:dyDescent="0.25">
      <c r="A116" t="s">
        <v>1153</v>
      </c>
      <c r="B116" s="1">
        <v>0.26874999999999999</v>
      </c>
      <c r="C116" s="1">
        <v>0.61250000000000004</v>
      </c>
      <c r="D116" s="2">
        <v>0.34386574074074072</v>
      </c>
      <c r="E116">
        <v>43.65</v>
      </c>
      <c r="F116">
        <v>5.29</v>
      </c>
    </row>
    <row r="117" spans="1:6" x14ac:dyDescent="0.25">
      <c r="A117" t="s">
        <v>1042</v>
      </c>
      <c r="B117" s="1">
        <v>0.2951388888888889</v>
      </c>
      <c r="C117" s="1">
        <v>0.53888888888888886</v>
      </c>
      <c r="D117" s="2">
        <v>0.24435185185185185</v>
      </c>
      <c r="E117">
        <v>43.4</v>
      </c>
      <c r="F117">
        <v>7.4</v>
      </c>
    </row>
    <row r="118" spans="1:6" x14ac:dyDescent="0.25">
      <c r="A118" t="s">
        <v>1112</v>
      </c>
      <c r="B118" s="1">
        <v>0.25416666666666665</v>
      </c>
      <c r="C118" s="1">
        <v>0.64236111111111116</v>
      </c>
      <c r="D118" s="2">
        <v>0.38827546296296295</v>
      </c>
      <c r="E118">
        <v>43.26</v>
      </c>
      <c r="F118">
        <v>4.6399999999999997</v>
      </c>
    </row>
    <row r="119" spans="1:6" x14ac:dyDescent="0.25">
      <c r="A119" t="s">
        <v>1129</v>
      </c>
      <c r="B119" s="1">
        <v>0.28819444444444442</v>
      </c>
      <c r="C119" s="1">
        <v>0.52430555555555558</v>
      </c>
      <c r="D119" s="2">
        <v>0.23644675925925926</v>
      </c>
      <c r="E119">
        <v>43.16</v>
      </c>
      <c r="F119">
        <v>7.61</v>
      </c>
    </row>
    <row r="120" spans="1:6" x14ac:dyDescent="0.25">
      <c r="A120" t="s">
        <v>1143</v>
      </c>
      <c r="B120" s="1">
        <v>0.21597222222222223</v>
      </c>
      <c r="C120" s="1">
        <v>0.66180555555555554</v>
      </c>
      <c r="D120" s="2">
        <v>0.44605324074074076</v>
      </c>
      <c r="E120">
        <v>43.14</v>
      </c>
      <c r="F120">
        <v>4.03</v>
      </c>
    </row>
    <row r="121" spans="1:6" x14ac:dyDescent="0.25">
      <c r="A121" t="s">
        <v>1114</v>
      </c>
      <c r="B121" s="1">
        <v>0.20972222222222223</v>
      </c>
      <c r="C121" s="1">
        <v>0.5708333333333333</v>
      </c>
      <c r="D121" s="2">
        <v>0.36116898148148147</v>
      </c>
      <c r="E121">
        <v>43.11</v>
      </c>
      <c r="F121">
        <v>4.97</v>
      </c>
    </row>
    <row r="122" spans="1:6" x14ac:dyDescent="0.25">
      <c r="A122" t="s">
        <v>1159</v>
      </c>
      <c r="B122" s="1">
        <v>0.2361111111111111</v>
      </c>
      <c r="C122" s="1">
        <v>0.65069444444444446</v>
      </c>
      <c r="D122" s="2">
        <v>0.41458333333333336</v>
      </c>
      <c r="E122">
        <v>43.08</v>
      </c>
      <c r="F122">
        <v>4.33</v>
      </c>
    </row>
    <row r="123" spans="1:6" x14ac:dyDescent="0.25">
      <c r="A123" t="s">
        <v>43</v>
      </c>
      <c r="B123" s="1">
        <v>0.27916666666666667</v>
      </c>
      <c r="C123" s="1">
        <v>0.63263888888888886</v>
      </c>
      <c r="D123" s="2">
        <v>0.35309027777777779</v>
      </c>
      <c r="E123">
        <v>43.02</v>
      </c>
      <c r="F123">
        <v>5.08</v>
      </c>
    </row>
    <row r="124" spans="1:6" x14ac:dyDescent="0.25">
      <c r="A124" t="s">
        <v>926</v>
      </c>
      <c r="B124" s="1">
        <v>0.24652777777777779</v>
      </c>
      <c r="C124" s="1">
        <v>0.4548611111111111</v>
      </c>
      <c r="D124" s="2">
        <v>0.20846064814814816</v>
      </c>
      <c r="E124">
        <v>42.31</v>
      </c>
      <c r="F124">
        <v>8.4600000000000009</v>
      </c>
    </row>
    <row r="125" spans="1:6" x14ac:dyDescent="0.25">
      <c r="A125" t="s">
        <v>1162</v>
      </c>
      <c r="B125" s="1">
        <v>1.2500000000000001E-2</v>
      </c>
      <c r="C125" s="1">
        <v>0.64722222222222225</v>
      </c>
      <c r="D125" s="2">
        <v>0.6350231481481482</v>
      </c>
      <c r="E125">
        <v>42.2</v>
      </c>
      <c r="F125">
        <v>2.77</v>
      </c>
    </row>
    <row r="126" spans="1:6" x14ac:dyDescent="0.25">
      <c r="A126" t="s">
        <v>1133</v>
      </c>
      <c r="B126" s="1">
        <v>0.26666666666666666</v>
      </c>
      <c r="C126" s="1">
        <v>0.66319444444444442</v>
      </c>
      <c r="D126" s="2">
        <v>0.39693287037037039</v>
      </c>
      <c r="E126">
        <v>41.91</v>
      </c>
      <c r="F126">
        <v>4.4000000000000004</v>
      </c>
    </row>
    <row r="127" spans="1:6" x14ac:dyDescent="0.25">
      <c r="A127" t="s">
        <v>1192</v>
      </c>
      <c r="B127" s="1">
        <v>0.2986111111111111</v>
      </c>
      <c r="C127" s="1">
        <v>0.53541666666666665</v>
      </c>
      <c r="D127" s="2">
        <v>0.23636574074074074</v>
      </c>
      <c r="E127">
        <v>41.75</v>
      </c>
      <c r="F127">
        <v>7.36</v>
      </c>
    </row>
    <row r="128" spans="1:6" x14ac:dyDescent="0.25">
      <c r="A128" t="s">
        <v>20</v>
      </c>
      <c r="B128" s="1">
        <v>0.27638888888888891</v>
      </c>
      <c r="C128" s="1">
        <v>0.51458333333333328</v>
      </c>
      <c r="D128" s="2">
        <v>0.23824074074074075</v>
      </c>
      <c r="E128">
        <v>41.69</v>
      </c>
      <c r="F128">
        <v>7.29</v>
      </c>
    </row>
    <row r="129" spans="1:6" x14ac:dyDescent="0.25">
      <c r="A129" t="s">
        <v>1037</v>
      </c>
      <c r="B129" s="1">
        <v>0.28055555555555556</v>
      </c>
      <c r="C129" s="1">
        <v>0.53749999999999998</v>
      </c>
      <c r="D129" s="2">
        <v>0.2570486111111111</v>
      </c>
      <c r="E129">
        <v>41.53</v>
      </c>
      <c r="F129">
        <v>6.73</v>
      </c>
    </row>
    <row r="130" spans="1:6" x14ac:dyDescent="0.25">
      <c r="A130" t="s">
        <v>33</v>
      </c>
      <c r="B130" s="1">
        <v>0.26111111111111113</v>
      </c>
      <c r="C130" s="1">
        <v>0.55208333333333337</v>
      </c>
      <c r="D130" s="2">
        <v>0.29096064814814815</v>
      </c>
      <c r="E130">
        <v>41.36</v>
      </c>
      <c r="F130">
        <v>5.92</v>
      </c>
    </row>
    <row r="131" spans="1:6" x14ac:dyDescent="0.25">
      <c r="A131" t="s">
        <v>1101</v>
      </c>
      <c r="B131" s="1">
        <v>0.24930555555555556</v>
      </c>
      <c r="C131" s="1">
        <v>0.47222222222222221</v>
      </c>
      <c r="D131" s="2">
        <v>0.2230787037037037</v>
      </c>
      <c r="E131">
        <v>41.28</v>
      </c>
      <c r="F131">
        <v>7.71</v>
      </c>
    </row>
    <row r="132" spans="1:6" x14ac:dyDescent="0.25">
      <c r="A132" t="s">
        <v>1091</v>
      </c>
      <c r="B132" s="1">
        <v>0.27361111111111114</v>
      </c>
      <c r="C132" s="1">
        <v>0.66319444444444442</v>
      </c>
      <c r="D132" s="2">
        <v>0.38928240740740738</v>
      </c>
      <c r="E132">
        <v>40.69</v>
      </c>
      <c r="F132">
        <v>4.3600000000000003</v>
      </c>
    </row>
    <row r="133" spans="1:6" x14ac:dyDescent="0.25">
      <c r="A133" t="s">
        <v>1122</v>
      </c>
      <c r="B133" s="1">
        <v>0.24722222222222223</v>
      </c>
      <c r="C133" s="1">
        <v>0.66319444444444442</v>
      </c>
      <c r="D133" s="2">
        <v>0.41548611111111111</v>
      </c>
      <c r="E133">
        <v>40.619999999999997</v>
      </c>
      <c r="F133">
        <v>4.07</v>
      </c>
    </row>
    <row r="134" spans="1:6" x14ac:dyDescent="0.25">
      <c r="A134" t="s">
        <v>49</v>
      </c>
      <c r="B134" s="1">
        <v>0.23958333333333334</v>
      </c>
      <c r="C134" s="1">
        <v>0.42638888888888887</v>
      </c>
      <c r="D134" s="2">
        <v>0.1867824074074074</v>
      </c>
      <c r="E134">
        <v>40.590000000000003</v>
      </c>
      <c r="F134">
        <v>9.0500000000000007</v>
      </c>
    </row>
    <row r="135" spans="1:6" x14ac:dyDescent="0.25">
      <c r="A135" t="s">
        <v>973</v>
      </c>
      <c r="B135" s="1">
        <v>0.24791666666666667</v>
      </c>
      <c r="C135" s="1">
        <v>0.65069444444444446</v>
      </c>
      <c r="D135" s="2">
        <v>0.40266203703703701</v>
      </c>
      <c r="E135">
        <v>40.1</v>
      </c>
      <c r="F135">
        <v>4.1500000000000004</v>
      </c>
    </row>
    <row r="136" spans="1:6" x14ac:dyDescent="0.25">
      <c r="A136" t="s">
        <v>810</v>
      </c>
      <c r="B136" s="1">
        <v>0.25833333333333336</v>
      </c>
      <c r="C136" s="1">
        <v>0.64722222222222225</v>
      </c>
      <c r="D136" s="2">
        <v>0.38824074074074072</v>
      </c>
      <c r="E136">
        <v>39.94</v>
      </c>
      <c r="F136">
        <v>4.29</v>
      </c>
    </row>
    <row r="137" spans="1:6" x14ac:dyDescent="0.25">
      <c r="A137" t="s">
        <v>1039</v>
      </c>
      <c r="B137" s="1">
        <v>0.28055555555555556</v>
      </c>
      <c r="C137" s="1">
        <v>0.52986111111111112</v>
      </c>
      <c r="D137" s="2">
        <v>0.2494675925925926</v>
      </c>
      <c r="E137">
        <v>39.700000000000003</v>
      </c>
      <c r="F137">
        <v>6.63</v>
      </c>
    </row>
    <row r="138" spans="1:6" x14ac:dyDescent="0.25">
      <c r="A138" t="s">
        <v>1069</v>
      </c>
      <c r="B138" s="1">
        <v>0.2951388888888889</v>
      </c>
      <c r="C138" s="1">
        <v>0.66249999999999998</v>
      </c>
      <c r="D138" s="2">
        <v>0.36773148148148149</v>
      </c>
      <c r="E138">
        <v>39.630000000000003</v>
      </c>
      <c r="F138">
        <v>4.49</v>
      </c>
    </row>
    <row r="139" spans="1:6" x14ac:dyDescent="0.25">
      <c r="A139" t="s">
        <v>28</v>
      </c>
      <c r="B139" s="1">
        <v>0.2951388888888889</v>
      </c>
      <c r="C139" s="1">
        <v>0.55833333333333335</v>
      </c>
      <c r="D139" s="2">
        <v>0.2630439814814815</v>
      </c>
      <c r="E139">
        <v>39.619999999999997</v>
      </c>
      <c r="F139">
        <v>6.28</v>
      </c>
    </row>
    <row r="140" spans="1:6" x14ac:dyDescent="0.25">
      <c r="A140" t="s">
        <v>1096</v>
      </c>
      <c r="B140" s="1">
        <v>0.20347222222222222</v>
      </c>
      <c r="C140" s="1">
        <v>0.54374999999999996</v>
      </c>
      <c r="D140" s="2">
        <v>0.3402662037037037</v>
      </c>
      <c r="E140">
        <v>39.450000000000003</v>
      </c>
      <c r="F140">
        <v>4.83</v>
      </c>
    </row>
    <row r="141" spans="1:6" x14ac:dyDescent="0.25">
      <c r="A141" t="s">
        <v>1125</v>
      </c>
      <c r="B141" s="1">
        <v>0.23125000000000001</v>
      </c>
      <c r="C141" s="1">
        <v>0.65138888888888891</v>
      </c>
      <c r="D141" s="2">
        <v>0.41983796296296294</v>
      </c>
      <c r="E141">
        <v>39.44</v>
      </c>
      <c r="F141">
        <v>3.91</v>
      </c>
    </row>
    <row r="142" spans="1:6" x14ac:dyDescent="0.25">
      <c r="A142" t="s">
        <v>1027</v>
      </c>
      <c r="B142" s="1">
        <v>0.28263888888888888</v>
      </c>
      <c r="C142" s="1">
        <v>0.6118055555555556</v>
      </c>
      <c r="D142" s="2">
        <v>0.32935185185185184</v>
      </c>
      <c r="E142">
        <v>39.33</v>
      </c>
      <c r="F142">
        <v>4.9800000000000004</v>
      </c>
    </row>
    <row r="143" spans="1:6" x14ac:dyDescent="0.25">
      <c r="A143" t="s">
        <v>1169</v>
      </c>
      <c r="B143" s="1">
        <v>0.24652777777777779</v>
      </c>
      <c r="C143" s="1">
        <v>0.49375000000000002</v>
      </c>
      <c r="D143" s="2">
        <v>0.24686342592592592</v>
      </c>
      <c r="E143">
        <v>39.18</v>
      </c>
      <c r="F143">
        <v>6.61</v>
      </c>
    </row>
    <row r="144" spans="1:6" x14ac:dyDescent="0.25">
      <c r="A144" t="s">
        <v>1242</v>
      </c>
      <c r="B144" s="1">
        <v>0.25972222222222224</v>
      </c>
      <c r="C144" s="1">
        <v>0.58611111111111114</v>
      </c>
      <c r="D144" s="2">
        <v>0.32677083333333334</v>
      </c>
      <c r="E144">
        <v>39.03</v>
      </c>
      <c r="F144">
        <v>4.9800000000000004</v>
      </c>
    </row>
    <row r="145" spans="1:6" x14ac:dyDescent="0.25">
      <c r="A145" t="s">
        <v>939</v>
      </c>
      <c r="B145" s="1">
        <v>0.2048611111111111</v>
      </c>
      <c r="C145" s="1">
        <v>0.48472222222222222</v>
      </c>
      <c r="D145" s="2">
        <v>0.28008101851851852</v>
      </c>
      <c r="E145">
        <v>38.950000000000003</v>
      </c>
      <c r="F145">
        <v>5.79</v>
      </c>
    </row>
    <row r="146" spans="1:6" x14ac:dyDescent="0.25">
      <c r="A146" t="s">
        <v>51</v>
      </c>
      <c r="B146" s="1">
        <v>0.24236111111111111</v>
      </c>
      <c r="C146" s="1">
        <v>0.46666666666666667</v>
      </c>
      <c r="D146" s="2">
        <v>0.22471064814814815</v>
      </c>
      <c r="E146">
        <v>38.67</v>
      </c>
      <c r="F146">
        <v>7.17</v>
      </c>
    </row>
    <row r="147" spans="1:6" x14ac:dyDescent="0.25">
      <c r="A147" t="s">
        <v>7</v>
      </c>
      <c r="B147" s="1">
        <v>0.29583333333333334</v>
      </c>
      <c r="C147" s="1">
        <v>0.46458333333333335</v>
      </c>
      <c r="D147" s="2">
        <v>0.16864583333333333</v>
      </c>
      <c r="E147">
        <v>38.58</v>
      </c>
      <c r="F147">
        <v>9.5299999999999994</v>
      </c>
    </row>
    <row r="148" spans="1:6" x14ac:dyDescent="0.25">
      <c r="A148" t="s">
        <v>59</v>
      </c>
      <c r="B148" s="1">
        <v>4.1666666666666664E-2</v>
      </c>
      <c r="C148" s="1">
        <v>0.51180555555555551</v>
      </c>
      <c r="D148" s="2">
        <v>0.46984953703703702</v>
      </c>
      <c r="E148">
        <v>38.49</v>
      </c>
      <c r="F148">
        <v>3.41</v>
      </c>
    </row>
    <row r="149" spans="1:6" x14ac:dyDescent="0.25">
      <c r="A149" t="s">
        <v>1137</v>
      </c>
      <c r="B149" s="1">
        <v>0.26458333333333334</v>
      </c>
      <c r="C149" s="1">
        <v>0.55972222222222223</v>
      </c>
      <c r="D149" s="2">
        <v>0.29520833333333335</v>
      </c>
      <c r="E149">
        <v>38.47</v>
      </c>
      <c r="F149">
        <v>5.43</v>
      </c>
    </row>
    <row r="150" spans="1:6" x14ac:dyDescent="0.25">
      <c r="A150" t="s">
        <v>1105</v>
      </c>
      <c r="B150" s="1">
        <v>0.38472222222222224</v>
      </c>
      <c r="C150" s="1">
        <v>0.48749999999999999</v>
      </c>
      <c r="D150" s="2">
        <v>0.10274305555555556</v>
      </c>
      <c r="E150">
        <v>38.299999999999997</v>
      </c>
      <c r="F150">
        <v>15.53</v>
      </c>
    </row>
    <row r="151" spans="1:6" x14ac:dyDescent="0.25">
      <c r="A151" t="s">
        <v>1072</v>
      </c>
      <c r="B151" s="1">
        <v>9.7222222222222224E-2</v>
      </c>
      <c r="C151" s="1">
        <v>0.58333333333333337</v>
      </c>
      <c r="D151" s="2">
        <v>0.48600694444444442</v>
      </c>
      <c r="E151">
        <v>38.29</v>
      </c>
      <c r="F151">
        <v>3.28</v>
      </c>
    </row>
    <row r="152" spans="1:6" x14ac:dyDescent="0.25">
      <c r="A152" t="s">
        <v>995</v>
      </c>
      <c r="B152" s="1">
        <v>0.28055555555555556</v>
      </c>
      <c r="C152" s="1">
        <v>0.49930555555555556</v>
      </c>
      <c r="D152" s="2">
        <v>0.21854166666666666</v>
      </c>
      <c r="E152">
        <v>37.96</v>
      </c>
      <c r="F152">
        <v>7.24</v>
      </c>
    </row>
    <row r="153" spans="1:6" x14ac:dyDescent="0.25">
      <c r="A153" t="s">
        <v>1155</v>
      </c>
      <c r="B153" s="1">
        <v>0.28611111111111109</v>
      </c>
      <c r="C153" s="1">
        <v>0.55277777777777781</v>
      </c>
      <c r="D153" s="2">
        <v>0.26675925925925925</v>
      </c>
      <c r="E153">
        <v>37.83</v>
      </c>
      <c r="F153">
        <v>5.91</v>
      </c>
    </row>
    <row r="154" spans="1:6" x14ac:dyDescent="0.25">
      <c r="A154" t="s">
        <v>1106</v>
      </c>
      <c r="B154" s="1">
        <v>0.24652777777777779</v>
      </c>
      <c r="C154" s="1">
        <v>0.62638888888888888</v>
      </c>
      <c r="D154" s="2">
        <v>0.3795486111111111</v>
      </c>
      <c r="E154">
        <v>37.78</v>
      </c>
      <c r="F154">
        <v>4.1500000000000004</v>
      </c>
    </row>
    <row r="155" spans="1:6" x14ac:dyDescent="0.25">
      <c r="A155" t="s">
        <v>1031</v>
      </c>
      <c r="B155" s="1">
        <v>0.2673611111111111</v>
      </c>
      <c r="C155" s="1">
        <v>0.53611111111111109</v>
      </c>
      <c r="D155" s="2">
        <v>0.26844907407407409</v>
      </c>
      <c r="E155">
        <v>37.76</v>
      </c>
      <c r="F155">
        <v>5.86</v>
      </c>
    </row>
    <row r="156" spans="1:6" x14ac:dyDescent="0.25">
      <c r="A156" t="s">
        <v>1139</v>
      </c>
      <c r="B156" s="1">
        <v>0.3</v>
      </c>
      <c r="C156" s="1">
        <v>0.52361111111111114</v>
      </c>
      <c r="D156" s="2">
        <v>0.22322916666666667</v>
      </c>
      <c r="E156">
        <v>37.69</v>
      </c>
      <c r="F156">
        <v>7.03</v>
      </c>
    </row>
    <row r="157" spans="1:6" x14ac:dyDescent="0.25">
      <c r="A157" t="s">
        <v>1113</v>
      </c>
      <c r="B157" s="1">
        <v>0.27013888888888887</v>
      </c>
      <c r="C157" s="1">
        <v>0.55347222222222225</v>
      </c>
      <c r="D157" s="2">
        <v>0.28342592592592591</v>
      </c>
      <c r="E157">
        <v>37.68</v>
      </c>
      <c r="F157">
        <v>5.54</v>
      </c>
    </row>
    <row r="158" spans="1:6" x14ac:dyDescent="0.25">
      <c r="A158" t="s">
        <v>1012</v>
      </c>
      <c r="B158" s="1">
        <v>0.2902777777777778</v>
      </c>
      <c r="C158" s="1">
        <v>0.66249999999999998</v>
      </c>
      <c r="D158" s="2">
        <v>0.37193287037037037</v>
      </c>
      <c r="E158">
        <v>37.549999999999997</v>
      </c>
      <c r="F158">
        <v>4.21</v>
      </c>
    </row>
    <row r="159" spans="1:6" x14ac:dyDescent="0.25">
      <c r="A159" t="s">
        <v>828</v>
      </c>
      <c r="B159" s="1">
        <v>0.29305555555555557</v>
      </c>
      <c r="C159" s="1">
        <v>0.42430555555555555</v>
      </c>
      <c r="D159" s="2">
        <v>0.13115740740740742</v>
      </c>
      <c r="E159">
        <v>37.549999999999997</v>
      </c>
      <c r="F159">
        <v>11.93</v>
      </c>
    </row>
    <row r="160" spans="1:6" x14ac:dyDescent="0.25">
      <c r="A160" t="s">
        <v>799</v>
      </c>
      <c r="B160" s="1">
        <v>0.42986111111111114</v>
      </c>
      <c r="C160" s="1">
        <v>0.59097222222222223</v>
      </c>
      <c r="D160" s="2">
        <v>0.16074074074074074</v>
      </c>
      <c r="E160">
        <v>37.35</v>
      </c>
      <c r="F160">
        <v>9.68</v>
      </c>
    </row>
    <row r="161" spans="1:6" x14ac:dyDescent="0.25">
      <c r="A161" t="s">
        <v>809</v>
      </c>
      <c r="B161" s="1">
        <v>0.29583333333333334</v>
      </c>
      <c r="C161" s="1">
        <v>0.6381944444444444</v>
      </c>
      <c r="D161" s="2">
        <v>0.3424537037037037</v>
      </c>
      <c r="E161">
        <v>37</v>
      </c>
      <c r="F161">
        <v>4.5</v>
      </c>
    </row>
    <row r="162" spans="1:6" x14ac:dyDescent="0.25">
      <c r="A162" t="s">
        <v>957</v>
      </c>
      <c r="B162" s="1">
        <v>0.29444444444444445</v>
      </c>
      <c r="C162" s="1">
        <v>0.59236111111111112</v>
      </c>
      <c r="D162" s="2">
        <v>0.29812499999999997</v>
      </c>
      <c r="E162">
        <v>36.9</v>
      </c>
      <c r="F162">
        <v>5.16</v>
      </c>
    </row>
    <row r="163" spans="1:6" x14ac:dyDescent="0.25">
      <c r="A163" t="s">
        <v>815</v>
      </c>
      <c r="B163" s="1">
        <v>0.27430555555555558</v>
      </c>
      <c r="C163" s="1">
        <v>0.55972222222222223</v>
      </c>
      <c r="D163" s="2">
        <v>0.28502314814814816</v>
      </c>
      <c r="E163">
        <v>36.9</v>
      </c>
      <c r="F163">
        <v>5.39</v>
      </c>
    </row>
    <row r="164" spans="1:6" x14ac:dyDescent="0.25">
      <c r="A164" t="s">
        <v>1189</v>
      </c>
      <c r="B164" s="1">
        <v>0.27708333333333335</v>
      </c>
      <c r="C164" s="1">
        <v>0.60763888888888884</v>
      </c>
      <c r="D164" s="2">
        <v>0.3304050925925926</v>
      </c>
      <c r="E164">
        <v>36.840000000000003</v>
      </c>
      <c r="F164">
        <v>4.6500000000000004</v>
      </c>
    </row>
    <row r="165" spans="1:6" x14ac:dyDescent="0.25">
      <c r="A165" t="s">
        <v>32</v>
      </c>
      <c r="B165" s="1">
        <v>0.21805555555555556</v>
      </c>
      <c r="C165" s="1">
        <v>0.50972222222222219</v>
      </c>
      <c r="D165" s="2">
        <v>0.29144675925925928</v>
      </c>
      <c r="E165">
        <v>36.75</v>
      </c>
      <c r="F165">
        <v>5.25</v>
      </c>
    </row>
    <row r="166" spans="1:6" x14ac:dyDescent="0.25">
      <c r="A166" t="s">
        <v>26</v>
      </c>
      <c r="B166" s="1">
        <v>0.34583333333333333</v>
      </c>
      <c r="C166" s="1">
        <v>0.57499999999999996</v>
      </c>
      <c r="D166" s="2">
        <v>0.22923611111111111</v>
      </c>
      <c r="E166">
        <v>36.75</v>
      </c>
      <c r="F166">
        <v>6.68</v>
      </c>
    </row>
    <row r="167" spans="1:6" x14ac:dyDescent="0.25">
      <c r="A167" t="s">
        <v>1142</v>
      </c>
      <c r="B167" s="1">
        <v>0.24027777777777778</v>
      </c>
      <c r="C167" s="1">
        <v>0.40694444444444444</v>
      </c>
      <c r="D167" s="2">
        <v>0.16633101851851853</v>
      </c>
      <c r="E167">
        <v>36.69</v>
      </c>
      <c r="F167">
        <v>9.19</v>
      </c>
    </row>
    <row r="168" spans="1:6" x14ac:dyDescent="0.25">
      <c r="A168" t="s">
        <v>90</v>
      </c>
      <c r="B168" s="1">
        <v>0.19444444444444445</v>
      </c>
      <c r="C168" s="1">
        <v>0.54652777777777772</v>
      </c>
      <c r="D168" s="2">
        <v>0.35210648148148149</v>
      </c>
      <c r="E168">
        <v>36.39</v>
      </c>
      <c r="F168">
        <v>4.3099999999999996</v>
      </c>
    </row>
    <row r="169" spans="1:6" x14ac:dyDescent="0.25">
      <c r="A169" t="s">
        <v>1024</v>
      </c>
      <c r="B169" s="1">
        <v>0.28888888888888886</v>
      </c>
      <c r="C169" s="1">
        <v>0.59583333333333333</v>
      </c>
      <c r="D169" s="2">
        <v>0.30653935185185183</v>
      </c>
      <c r="E169">
        <v>36.369999999999997</v>
      </c>
      <c r="F169">
        <v>4.9400000000000004</v>
      </c>
    </row>
    <row r="170" spans="1:6" x14ac:dyDescent="0.25">
      <c r="A170" t="s">
        <v>1011</v>
      </c>
      <c r="B170" s="1">
        <v>0.29722222222222222</v>
      </c>
      <c r="C170" s="1">
        <v>0.65416666666666667</v>
      </c>
      <c r="D170" s="2">
        <v>0.35675925925925928</v>
      </c>
      <c r="E170">
        <v>36.31</v>
      </c>
      <c r="F170">
        <v>4.24</v>
      </c>
    </row>
    <row r="171" spans="1:6" x14ac:dyDescent="0.25">
      <c r="A171" t="s">
        <v>1043</v>
      </c>
      <c r="B171" s="1">
        <v>0.26111111111111113</v>
      </c>
      <c r="C171" s="1">
        <v>0.52708333333333335</v>
      </c>
      <c r="D171" s="2">
        <v>0.26590277777777777</v>
      </c>
      <c r="E171">
        <v>36.11</v>
      </c>
      <c r="F171">
        <v>5.66</v>
      </c>
    </row>
    <row r="172" spans="1:6" x14ac:dyDescent="0.25">
      <c r="A172" t="s">
        <v>1009</v>
      </c>
      <c r="B172" s="1">
        <v>0.26527777777777778</v>
      </c>
      <c r="C172" s="1">
        <v>0.6381944444444444</v>
      </c>
      <c r="D172" s="2">
        <v>0.37339120370370371</v>
      </c>
      <c r="E172">
        <v>36.020000000000003</v>
      </c>
      <c r="F172">
        <v>4.0199999999999996</v>
      </c>
    </row>
    <row r="173" spans="1:6" x14ac:dyDescent="0.25">
      <c r="A173" t="s">
        <v>1128</v>
      </c>
      <c r="B173" s="1">
        <v>0.27291666666666664</v>
      </c>
      <c r="C173" s="1">
        <v>0.63472222222222219</v>
      </c>
      <c r="D173" s="2">
        <v>0.36174768518518519</v>
      </c>
      <c r="E173">
        <v>36</v>
      </c>
      <c r="F173">
        <v>4.1500000000000004</v>
      </c>
    </row>
    <row r="174" spans="1:6" x14ac:dyDescent="0.25">
      <c r="A174" t="s">
        <v>86</v>
      </c>
      <c r="B174" s="1">
        <v>0.27361111111111114</v>
      </c>
      <c r="C174" s="1">
        <v>0.54097222222222219</v>
      </c>
      <c r="D174" s="2">
        <v>0.26726851851851852</v>
      </c>
      <c r="E174">
        <v>35.950000000000003</v>
      </c>
      <c r="F174">
        <v>5.6</v>
      </c>
    </row>
    <row r="175" spans="1:6" x14ac:dyDescent="0.25">
      <c r="A175" t="s">
        <v>1258</v>
      </c>
      <c r="B175" s="1">
        <v>0.29791666666666666</v>
      </c>
      <c r="C175" s="1">
        <v>0.55347222222222225</v>
      </c>
      <c r="D175" s="2">
        <v>0.25596064814814817</v>
      </c>
      <c r="E175">
        <v>35.94</v>
      </c>
      <c r="F175">
        <v>5.85</v>
      </c>
    </row>
    <row r="176" spans="1:6" x14ac:dyDescent="0.25">
      <c r="A176" t="s">
        <v>1082</v>
      </c>
      <c r="B176" s="1">
        <v>3.472222222222222E-3</v>
      </c>
      <c r="C176" s="1">
        <v>0.66180555555555554</v>
      </c>
      <c r="D176" s="2">
        <v>0.65834490740740736</v>
      </c>
      <c r="E176">
        <v>35.67</v>
      </c>
      <c r="F176">
        <v>2.2599999999999998</v>
      </c>
    </row>
    <row r="177" spans="1:6" x14ac:dyDescent="0.25">
      <c r="A177" t="s">
        <v>1179</v>
      </c>
      <c r="B177" s="1">
        <v>0.26527777777777778</v>
      </c>
      <c r="C177" s="1">
        <v>0.47430555555555554</v>
      </c>
      <c r="D177" s="2">
        <v>0.20880787037037038</v>
      </c>
      <c r="E177">
        <v>35.6</v>
      </c>
      <c r="F177">
        <v>7.1</v>
      </c>
    </row>
    <row r="178" spans="1:6" x14ac:dyDescent="0.25">
      <c r="A178" t="s">
        <v>1226</v>
      </c>
      <c r="B178" s="1">
        <v>0.36388888888888887</v>
      </c>
      <c r="C178" s="1">
        <v>0.59375</v>
      </c>
      <c r="D178" s="2">
        <v>0.22956018518518517</v>
      </c>
      <c r="E178">
        <v>35.47</v>
      </c>
      <c r="F178">
        <v>6.44</v>
      </c>
    </row>
    <row r="179" spans="1:6" x14ac:dyDescent="0.25">
      <c r="A179" t="s">
        <v>1156</v>
      </c>
      <c r="B179" s="1">
        <v>0.24930555555555556</v>
      </c>
      <c r="C179" s="1">
        <v>0.61111111111111116</v>
      </c>
      <c r="D179" s="2">
        <v>0.36190972222222223</v>
      </c>
      <c r="E179">
        <v>35.03</v>
      </c>
      <c r="F179">
        <v>4.03</v>
      </c>
    </row>
    <row r="180" spans="1:6" x14ac:dyDescent="0.25">
      <c r="A180" t="s">
        <v>986</v>
      </c>
      <c r="B180" s="1">
        <v>0.29305555555555557</v>
      </c>
      <c r="C180" s="1">
        <v>0.62708333333333333</v>
      </c>
      <c r="D180" s="2">
        <v>0.33402777777777776</v>
      </c>
      <c r="E180">
        <v>34.799999999999997</v>
      </c>
      <c r="F180">
        <v>4.34</v>
      </c>
    </row>
    <row r="181" spans="1:6" x14ac:dyDescent="0.25">
      <c r="A181" t="s">
        <v>1152</v>
      </c>
      <c r="B181" s="1">
        <v>0.25069444444444444</v>
      </c>
      <c r="C181" s="1">
        <v>0.63472222222222219</v>
      </c>
      <c r="D181" s="2">
        <v>0.38423611111111111</v>
      </c>
      <c r="E181">
        <v>34.76</v>
      </c>
      <c r="F181">
        <v>3.77</v>
      </c>
    </row>
    <row r="182" spans="1:6" x14ac:dyDescent="0.25">
      <c r="A182" t="s">
        <v>1197</v>
      </c>
      <c r="B182" s="1">
        <v>0.30625000000000002</v>
      </c>
      <c r="C182" s="1">
        <v>0.56805555555555554</v>
      </c>
      <c r="D182" s="2">
        <v>0.2619097222222222</v>
      </c>
      <c r="E182">
        <v>34.630000000000003</v>
      </c>
      <c r="F182">
        <v>5.51</v>
      </c>
    </row>
    <row r="183" spans="1:6" x14ac:dyDescent="0.25">
      <c r="A183" t="s">
        <v>1046</v>
      </c>
      <c r="B183" s="1">
        <v>2.0833333333333333E-3</v>
      </c>
      <c r="C183" s="1">
        <v>0.65972222222222221</v>
      </c>
      <c r="D183" s="2">
        <v>0.6580555555555555</v>
      </c>
      <c r="E183">
        <v>34.51</v>
      </c>
      <c r="F183">
        <v>2.19</v>
      </c>
    </row>
    <row r="184" spans="1:6" x14ac:dyDescent="0.25">
      <c r="A184" t="s">
        <v>1111</v>
      </c>
      <c r="B184" s="1">
        <v>0.30138888888888887</v>
      </c>
      <c r="C184" s="1">
        <v>0.51111111111111107</v>
      </c>
      <c r="D184" s="2">
        <v>0.21012731481481481</v>
      </c>
      <c r="E184">
        <v>34.46</v>
      </c>
      <c r="F184">
        <v>6.83</v>
      </c>
    </row>
    <row r="185" spans="1:6" x14ac:dyDescent="0.25">
      <c r="A185" t="s">
        <v>1048</v>
      </c>
      <c r="B185" s="1">
        <v>0.27638888888888891</v>
      </c>
      <c r="C185" s="1">
        <v>0.59791666666666665</v>
      </c>
      <c r="D185" s="2">
        <v>0.32175925925925924</v>
      </c>
      <c r="E185">
        <v>34.21</v>
      </c>
      <c r="F185">
        <v>4.43</v>
      </c>
    </row>
    <row r="186" spans="1:6" x14ac:dyDescent="0.25">
      <c r="A186" t="s">
        <v>1056</v>
      </c>
      <c r="B186" s="1">
        <v>0.30902777777777779</v>
      </c>
      <c r="C186" s="1">
        <v>0.5444444444444444</v>
      </c>
      <c r="D186" s="2">
        <v>0.23541666666666666</v>
      </c>
      <c r="E186">
        <v>34.14</v>
      </c>
      <c r="F186">
        <v>6.04</v>
      </c>
    </row>
    <row r="187" spans="1:6" x14ac:dyDescent="0.25">
      <c r="A187" t="s">
        <v>927</v>
      </c>
      <c r="B187" s="1">
        <v>0.28611111111111109</v>
      </c>
      <c r="C187" s="1">
        <v>0.58125000000000004</v>
      </c>
      <c r="D187" s="2">
        <v>0.29464120370370372</v>
      </c>
      <c r="E187">
        <v>34.04</v>
      </c>
      <c r="F187">
        <v>4.8099999999999996</v>
      </c>
    </row>
    <row r="188" spans="1:6" x14ac:dyDescent="0.25">
      <c r="A188" t="s">
        <v>816</v>
      </c>
      <c r="B188" s="1">
        <v>0</v>
      </c>
      <c r="C188" s="1">
        <v>0.65972222222222221</v>
      </c>
      <c r="D188" s="2">
        <v>0.65990740740740739</v>
      </c>
      <c r="E188">
        <v>34.03</v>
      </c>
      <c r="F188">
        <v>2.15</v>
      </c>
    </row>
    <row r="189" spans="1:6" x14ac:dyDescent="0.25">
      <c r="A189" t="s">
        <v>975</v>
      </c>
      <c r="B189" s="1">
        <v>0.31805555555555554</v>
      </c>
      <c r="C189" s="1">
        <v>0.59861111111111109</v>
      </c>
      <c r="D189" s="2">
        <v>0.28078703703703706</v>
      </c>
      <c r="E189">
        <v>34</v>
      </c>
      <c r="F189">
        <v>5.05</v>
      </c>
    </row>
    <row r="190" spans="1:6" x14ac:dyDescent="0.25">
      <c r="A190" t="s">
        <v>57</v>
      </c>
      <c r="B190" s="1">
        <v>0.3034722222222222</v>
      </c>
      <c r="C190" s="1">
        <v>0.53680555555555554</v>
      </c>
      <c r="D190" s="2">
        <v>0.23303240740740741</v>
      </c>
      <c r="E190">
        <v>33.86</v>
      </c>
      <c r="F190">
        <v>6.06</v>
      </c>
    </row>
    <row r="191" spans="1:6" x14ac:dyDescent="0.25">
      <c r="A191" t="s">
        <v>1085</v>
      </c>
      <c r="B191" s="1">
        <v>0.38124999999999998</v>
      </c>
      <c r="C191" s="1">
        <v>0.65069444444444446</v>
      </c>
      <c r="D191" s="2">
        <v>0.26899305555555558</v>
      </c>
      <c r="E191">
        <v>33.770000000000003</v>
      </c>
      <c r="F191">
        <v>5.23</v>
      </c>
    </row>
    <row r="192" spans="1:6" x14ac:dyDescent="0.25">
      <c r="A192" t="s">
        <v>19</v>
      </c>
      <c r="B192" s="1">
        <v>0.31111111111111112</v>
      </c>
      <c r="C192" s="1">
        <v>0.53194444444444444</v>
      </c>
      <c r="D192" s="2">
        <v>0.22114583333333335</v>
      </c>
      <c r="E192">
        <v>33.71</v>
      </c>
      <c r="F192">
        <v>6.35</v>
      </c>
    </row>
    <row r="193" spans="1:6" x14ac:dyDescent="0.25">
      <c r="A193" t="s">
        <v>1010</v>
      </c>
      <c r="B193" s="1">
        <v>0.26666666666666666</v>
      </c>
      <c r="C193" s="1">
        <v>0.66041666666666665</v>
      </c>
      <c r="D193" s="2">
        <v>0.39319444444444446</v>
      </c>
      <c r="E193">
        <v>33.700000000000003</v>
      </c>
      <c r="F193">
        <v>3.57</v>
      </c>
    </row>
    <row r="194" spans="1:6" x14ac:dyDescent="0.25">
      <c r="A194" t="s">
        <v>1033</v>
      </c>
      <c r="B194" s="1">
        <v>0.28402777777777777</v>
      </c>
      <c r="C194" s="1">
        <v>0.51736111111111116</v>
      </c>
      <c r="D194" s="2">
        <v>0.23363425925925926</v>
      </c>
      <c r="E194">
        <v>33.450000000000003</v>
      </c>
      <c r="F194">
        <v>5.97</v>
      </c>
    </row>
    <row r="195" spans="1:6" x14ac:dyDescent="0.25">
      <c r="A195" t="s">
        <v>1087</v>
      </c>
      <c r="B195" s="1">
        <v>0.25138888888888888</v>
      </c>
      <c r="C195" s="1">
        <v>0.51666666666666672</v>
      </c>
      <c r="D195" s="2">
        <v>0.26530092592592591</v>
      </c>
      <c r="E195">
        <v>33.43</v>
      </c>
      <c r="F195">
        <v>5.25</v>
      </c>
    </row>
    <row r="196" spans="1:6" x14ac:dyDescent="0.25">
      <c r="A196" t="s">
        <v>840</v>
      </c>
      <c r="B196" s="1">
        <v>0.29722222222222222</v>
      </c>
      <c r="C196" s="1">
        <v>0.53055555555555556</v>
      </c>
      <c r="D196" s="2">
        <v>0.23349537037037038</v>
      </c>
      <c r="E196">
        <v>33.43</v>
      </c>
      <c r="F196">
        <v>5.96</v>
      </c>
    </row>
    <row r="197" spans="1:6" x14ac:dyDescent="0.25">
      <c r="A197" t="s">
        <v>50</v>
      </c>
      <c r="B197" s="1">
        <v>0.3034722222222222</v>
      </c>
      <c r="C197" s="1">
        <v>0.44374999999999998</v>
      </c>
      <c r="D197" s="2">
        <v>0.14047453703703705</v>
      </c>
      <c r="E197">
        <v>33.42</v>
      </c>
      <c r="F197">
        <v>9.91</v>
      </c>
    </row>
    <row r="198" spans="1:6" x14ac:dyDescent="0.25">
      <c r="A198" t="s">
        <v>888</v>
      </c>
      <c r="B198" s="1">
        <v>0.26666666666666666</v>
      </c>
      <c r="C198" s="1">
        <v>0.62013888888888891</v>
      </c>
      <c r="D198" s="2">
        <v>0.35315972222222225</v>
      </c>
      <c r="E198">
        <v>33.369999999999997</v>
      </c>
      <c r="F198">
        <v>3.94</v>
      </c>
    </row>
    <row r="199" spans="1:6" x14ac:dyDescent="0.25">
      <c r="A199" t="s">
        <v>1013</v>
      </c>
      <c r="B199" s="1">
        <v>0.30972222222222223</v>
      </c>
      <c r="C199" s="1">
        <v>0.57222222222222219</v>
      </c>
      <c r="D199" s="2">
        <v>0.26277777777777778</v>
      </c>
      <c r="E199">
        <v>33.340000000000003</v>
      </c>
      <c r="F199">
        <v>5.29</v>
      </c>
    </row>
    <row r="200" spans="1:6" x14ac:dyDescent="0.25">
      <c r="A200" t="s">
        <v>934</v>
      </c>
      <c r="B200" s="1">
        <v>9.6527777777777782E-2</v>
      </c>
      <c r="C200" s="1">
        <v>0.55486111111111114</v>
      </c>
      <c r="D200" s="2">
        <v>0.45879629629629631</v>
      </c>
      <c r="E200">
        <v>33.29</v>
      </c>
      <c r="F200">
        <v>3.02</v>
      </c>
    </row>
    <row r="201" spans="1:6" x14ac:dyDescent="0.25">
      <c r="A201" t="s">
        <v>1259</v>
      </c>
      <c r="B201" s="1">
        <v>0.25347222222222221</v>
      </c>
      <c r="C201" s="1">
        <v>0.46041666666666664</v>
      </c>
      <c r="D201" s="2">
        <v>0.20730324074074075</v>
      </c>
      <c r="E201">
        <v>32.94</v>
      </c>
      <c r="F201">
        <v>6.62</v>
      </c>
    </row>
    <row r="202" spans="1:6" x14ac:dyDescent="0.25">
      <c r="A202" t="s">
        <v>1095</v>
      </c>
      <c r="B202" s="1">
        <v>0.2590277777777778</v>
      </c>
      <c r="C202" s="1">
        <v>0.61388888888888893</v>
      </c>
      <c r="D202" s="2">
        <v>0.35521990740740739</v>
      </c>
      <c r="E202">
        <v>32.75</v>
      </c>
      <c r="F202">
        <v>3.84</v>
      </c>
    </row>
    <row r="203" spans="1:6" x14ac:dyDescent="0.25">
      <c r="A203" t="s">
        <v>844</v>
      </c>
      <c r="B203" s="1">
        <v>0.30555555555555558</v>
      </c>
      <c r="C203" s="1">
        <v>0.50624999999999998</v>
      </c>
      <c r="D203" s="2">
        <v>0.20072916666666665</v>
      </c>
      <c r="E203">
        <v>32.659999999999997</v>
      </c>
      <c r="F203">
        <v>6.78</v>
      </c>
    </row>
    <row r="204" spans="1:6" x14ac:dyDescent="0.25">
      <c r="A204" t="s">
        <v>999</v>
      </c>
      <c r="B204" s="1">
        <v>0.29305555555555557</v>
      </c>
      <c r="C204" s="1">
        <v>0.65555555555555556</v>
      </c>
      <c r="D204" s="2">
        <v>0.3621875</v>
      </c>
      <c r="E204">
        <v>32.65</v>
      </c>
      <c r="F204">
        <v>3.76</v>
      </c>
    </row>
    <row r="205" spans="1:6" x14ac:dyDescent="0.25">
      <c r="A205" t="s">
        <v>1183</v>
      </c>
      <c r="B205" s="1">
        <v>0.25486111111111109</v>
      </c>
      <c r="C205" s="1">
        <v>0.65</v>
      </c>
      <c r="D205" s="2">
        <v>0.39491898148148147</v>
      </c>
      <c r="E205">
        <v>32.630000000000003</v>
      </c>
      <c r="F205">
        <v>3.44</v>
      </c>
    </row>
    <row r="206" spans="1:6" x14ac:dyDescent="0.25">
      <c r="A206" t="s">
        <v>113</v>
      </c>
      <c r="B206" s="1">
        <v>0.27708333333333335</v>
      </c>
      <c r="C206" s="1">
        <v>0.52152777777777781</v>
      </c>
      <c r="D206" s="2">
        <v>0.24450231481481483</v>
      </c>
      <c r="E206">
        <v>32.520000000000003</v>
      </c>
      <c r="F206">
        <v>5.54</v>
      </c>
    </row>
    <row r="207" spans="1:6" x14ac:dyDescent="0.25">
      <c r="A207" t="s">
        <v>935</v>
      </c>
      <c r="B207" s="1">
        <v>0.28958333333333336</v>
      </c>
      <c r="C207" s="1">
        <v>0.54652777777777772</v>
      </c>
      <c r="D207" s="2">
        <v>0.25675925925925924</v>
      </c>
      <c r="E207">
        <v>32.43</v>
      </c>
      <c r="F207">
        <v>5.26</v>
      </c>
    </row>
    <row r="208" spans="1:6" x14ac:dyDescent="0.25">
      <c r="A208" t="s">
        <v>1090</v>
      </c>
      <c r="B208" s="1">
        <v>0.22708333333333333</v>
      </c>
      <c r="C208" s="1">
        <v>0.65833333333333333</v>
      </c>
      <c r="D208" s="2">
        <v>0.43125000000000002</v>
      </c>
      <c r="E208">
        <v>32.35</v>
      </c>
      <c r="F208">
        <v>3.13</v>
      </c>
    </row>
    <row r="209" spans="1:6" x14ac:dyDescent="0.25">
      <c r="A209" t="s">
        <v>1018</v>
      </c>
      <c r="B209" s="1">
        <v>0.28958333333333336</v>
      </c>
      <c r="C209" s="1">
        <v>0.57499999999999996</v>
      </c>
      <c r="D209" s="2">
        <v>0.28574074074074074</v>
      </c>
      <c r="E209">
        <v>32.29</v>
      </c>
      <c r="F209">
        <v>4.71</v>
      </c>
    </row>
    <row r="210" spans="1:6" x14ac:dyDescent="0.25">
      <c r="A210" t="s">
        <v>941</v>
      </c>
      <c r="B210" s="1">
        <v>0.28680555555555554</v>
      </c>
      <c r="C210" s="1">
        <v>0.49375000000000002</v>
      </c>
      <c r="D210" s="2">
        <v>0.20677083333333332</v>
      </c>
      <c r="E210">
        <v>32.200000000000003</v>
      </c>
      <c r="F210">
        <v>6.49</v>
      </c>
    </row>
    <row r="211" spans="1:6" x14ac:dyDescent="0.25">
      <c r="A211" t="s">
        <v>887</v>
      </c>
      <c r="B211" s="1">
        <v>0.28680555555555554</v>
      </c>
      <c r="C211" s="1">
        <v>0.53402777777777777</v>
      </c>
      <c r="D211" s="2">
        <v>0.24751157407407406</v>
      </c>
      <c r="E211">
        <v>32.11</v>
      </c>
      <c r="F211">
        <v>5.41</v>
      </c>
    </row>
    <row r="212" spans="1:6" x14ac:dyDescent="0.25">
      <c r="A212" t="s">
        <v>1026</v>
      </c>
      <c r="B212" s="1">
        <v>2.7777777777777779E-3</v>
      </c>
      <c r="C212" s="1">
        <v>0.65902777777777777</v>
      </c>
      <c r="D212" s="2">
        <v>0.65598379629629633</v>
      </c>
      <c r="E212">
        <v>31.78</v>
      </c>
      <c r="F212">
        <v>2.02</v>
      </c>
    </row>
    <row r="213" spans="1:6" x14ac:dyDescent="0.25">
      <c r="A213" t="s">
        <v>95</v>
      </c>
      <c r="B213" s="1">
        <v>0.30763888888888891</v>
      </c>
      <c r="C213" s="1">
        <v>0.49583333333333335</v>
      </c>
      <c r="D213" s="2">
        <v>0.18812499999999999</v>
      </c>
      <c r="E213">
        <v>31.76</v>
      </c>
      <c r="F213">
        <v>7.03</v>
      </c>
    </row>
    <row r="214" spans="1:6" x14ac:dyDescent="0.25">
      <c r="A214" t="s">
        <v>1063</v>
      </c>
      <c r="B214" s="1">
        <v>0.35</v>
      </c>
      <c r="C214" s="1">
        <v>0.55763888888888891</v>
      </c>
      <c r="D214" s="2">
        <v>0.2074537037037037</v>
      </c>
      <c r="E214">
        <v>31.73</v>
      </c>
      <c r="F214">
        <v>6.37</v>
      </c>
    </row>
    <row r="215" spans="1:6" x14ac:dyDescent="0.25">
      <c r="A215" t="s">
        <v>1017</v>
      </c>
      <c r="B215" s="1">
        <v>0.33819444444444446</v>
      </c>
      <c r="C215" s="1">
        <v>0.65694444444444444</v>
      </c>
      <c r="D215" s="2">
        <v>0.31863425925925926</v>
      </c>
      <c r="E215">
        <v>31.61</v>
      </c>
      <c r="F215">
        <v>4.13</v>
      </c>
    </row>
    <row r="216" spans="1:6" x14ac:dyDescent="0.25">
      <c r="A216" t="s">
        <v>93</v>
      </c>
      <c r="B216" s="1">
        <v>0.29583333333333334</v>
      </c>
      <c r="C216" s="1">
        <v>0.54652777777777772</v>
      </c>
      <c r="D216" s="2">
        <v>0.25047453703703704</v>
      </c>
      <c r="E216">
        <v>31.37</v>
      </c>
      <c r="F216">
        <v>5.22</v>
      </c>
    </row>
    <row r="217" spans="1:6" x14ac:dyDescent="0.25">
      <c r="A217" t="s">
        <v>914</v>
      </c>
      <c r="B217" s="1">
        <v>0.27361111111111114</v>
      </c>
      <c r="C217" s="1">
        <v>0.46666666666666667</v>
      </c>
      <c r="D217" s="2">
        <v>0.19344907407407408</v>
      </c>
      <c r="E217">
        <v>31.19</v>
      </c>
      <c r="F217">
        <v>6.72</v>
      </c>
    </row>
    <row r="218" spans="1:6" x14ac:dyDescent="0.25">
      <c r="A218" t="s">
        <v>1083</v>
      </c>
      <c r="B218" s="1">
        <v>0.26458333333333334</v>
      </c>
      <c r="C218" s="1">
        <v>0.48541666666666666</v>
      </c>
      <c r="D218" s="2">
        <v>0.22085648148148149</v>
      </c>
      <c r="E218">
        <v>31.14</v>
      </c>
      <c r="F218">
        <v>5.87</v>
      </c>
    </row>
    <row r="219" spans="1:6" x14ac:dyDescent="0.25">
      <c r="A219" t="s">
        <v>785</v>
      </c>
      <c r="B219" s="1">
        <v>0.35138888888888886</v>
      </c>
      <c r="C219" s="1">
        <v>0.51597222222222228</v>
      </c>
      <c r="D219" s="2">
        <v>0.16475694444444444</v>
      </c>
      <c r="E219">
        <v>31.07</v>
      </c>
      <c r="F219">
        <v>7.86</v>
      </c>
    </row>
    <row r="220" spans="1:6" x14ac:dyDescent="0.25">
      <c r="A220" t="s">
        <v>793</v>
      </c>
      <c r="B220" s="1">
        <v>0.30069444444444443</v>
      </c>
      <c r="C220" s="1">
        <v>0.65763888888888888</v>
      </c>
      <c r="D220" s="2">
        <v>0.35692129629629632</v>
      </c>
      <c r="E220">
        <v>30.94</v>
      </c>
      <c r="F220">
        <v>3.61</v>
      </c>
    </row>
    <row r="221" spans="1:6" x14ac:dyDescent="0.25">
      <c r="A221" t="s">
        <v>1034</v>
      </c>
      <c r="B221" s="1">
        <v>0.27152777777777776</v>
      </c>
      <c r="C221" s="1">
        <v>0.64513888888888893</v>
      </c>
      <c r="D221" s="2">
        <v>0.37385416666666665</v>
      </c>
      <c r="E221">
        <v>30.89</v>
      </c>
      <c r="F221">
        <v>3.44</v>
      </c>
    </row>
    <row r="222" spans="1:6" x14ac:dyDescent="0.25">
      <c r="A222" t="s">
        <v>951</v>
      </c>
      <c r="B222" s="1">
        <v>0.27986111111111112</v>
      </c>
      <c r="C222" s="1">
        <v>0.57152777777777775</v>
      </c>
      <c r="D222" s="2">
        <v>0.29160879629629627</v>
      </c>
      <c r="E222">
        <v>30.88</v>
      </c>
      <c r="F222">
        <v>4.41</v>
      </c>
    </row>
    <row r="223" spans="1:6" x14ac:dyDescent="0.25">
      <c r="A223" t="s">
        <v>1103</v>
      </c>
      <c r="B223" s="1">
        <v>0.29791666666666666</v>
      </c>
      <c r="C223" s="1">
        <v>0.60416666666666663</v>
      </c>
      <c r="D223" s="2">
        <v>0.30662037037037038</v>
      </c>
      <c r="E223">
        <v>30.88</v>
      </c>
      <c r="F223">
        <v>4.2</v>
      </c>
    </row>
    <row r="224" spans="1:6" x14ac:dyDescent="0.25">
      <c r="A224" t="s">
        <v>1177</v>
      </c>
      <c r="B224" s="1">
        <v>0.25486111111111109</v>
      </c>
      <c r="C224" s="1">
        <v>0.57916666666666672</v>
      </c>
      <c r="D224" s="2">
        <v>0.32381944444444444</v>
      </c>
      <c r="E224">
        <v>30.72</v>
      </c>
      <c r="F224">
        <v>3.95</v>
      </c>
    </row>
    <row r="225" spans="1:6" x14ac:dyDescent="0.25">
      <c r="A225" t="s">
        <v>1066</v>
      </c>
      <c r="B225" s="1">
        <v>0.28958333333333336</v>
      </c>
      <c r="C225" s="1">
        <v>0.57291666666666663</v>
      </c>
      <c r="D225" s="2">
        <v>0.28333333333333333</v>
      </c>
      <c r="E225">
        <v>30.61</v>
      </c>
      <c r="F225">
        <v>4.5</v>
      </c>
    </row>
    <row r="226" spans="1:6" x14ac:dyDescent="0.25">
      <c r="A226" t="s">
        <v>1134</v>
      </c>
      <c r="B226" s="1">
        <v>0.2722222222222222</v>
      </c>
      <c r="C226" s="1">
        <v>0.64513888888888893</v>
      </c>
      <c r="D226" s="2">
        <v>0.37298611111111113</v>
      </c>
      <c r="E226">
        <v>30.3</v>
      </c>
      <c r="F226">
        <v>3.39</v>
      </c>
    </row>
    <row r="227" spans="1:6" x14ac:dyDescent="0.25">
      <c r="A227" t="s">
        <v>30</v>
      </c>
      <c r="B227" s="1">
        <v>0.26527777777777778</v>
      </c>
      <c r="C227" s="1">
        <v>0.51111111111111107</v>
      </c>
      <c r="D227" s="2">
        <v>0.24572916666666667</v>
      </c>
      <c r="E227">
        <v>30.21</v>
      </c>
      <c r="F227">
        <v>5.12</v>
      </c>
    </row>
    <row r="228" spans="1:6" x14ac:dyDescent="0.25">
      <c r="A228" t="s">
        <v>1109</v>
      </c>
      <c r="B228" s="1">
        <v>0.36527777777777776</v>
      </c>
      <c r="C228" s="1">
        <v>0.60486111111111107</v>
      </c>
      <c r="D228" s="2">
        <v>0.23982638888888888</v>
      </c>
      <c r="E228">
        <v>30.2</v>
      </c>
      <c r="F228">
        <v>5.25</v>
      </c>
    </row>
    <row r="229" spans="1:6" x14ac:dyDescent="0.25">
      <c r="A229" t="s">
        <v>1036</v>
      </c>
      <c r="B229" s="1">
        <v>0.29583333333333334</v>
      </c>
      <c r="C229" s="1">
        <v>0.64513888888888893</v>
      </c>
      <c r="D229" s="2">
        <v>0.34909722222222223</v>
      </c>
      <c r="E229">
        <v>29.95</v>
      </c>
      <c r="F229">
        <v>3.57</v>
      </c>
    </row>
    <row r="230" spans="1:6" x14ac:dyDescent="0.25">
      <c r="A230" t="s">
        <v>89</v>
      </c>
      <c r="B230" s="1">
        <v>0.29583333333333334</v>
      </c>
      <c r="C230" s="1">
        <v>0.51597222222222228</v>
      </c>
      <c r="D230" s="2">
        <v>0.22027777777777777</v>
      </c>
      <c r="E230">
        <v>29.9</v>
      </c>
      <c r="F230">
        <v>5.66</v>
      </c>
    </row>
    <row r="231" spans="1:6" x14ac:dyDescent="0.25">
      <c r="A231" t="s">
        <v>832</v>
      </c>
      <c r="B231" s="1">
        <v>0.29583333333333334</v>
      </c>
      <c r="C231" s="1">
        <v>0.45069444444444445</v>
      </c>
      <c r="D231" s="2">
        <v>0.15508101851851852</v>
      </c>
      <c r="E231">
        <v>29.9</v>
      </c>
      <c r="F231">
        <v>8.0299999999999994</v>
      </c>
    </row>
    <row r="232" spans="1:6" x14ac:dyDescent="0.25">
      <c r="A232" t="s">
        <v>1104</v>
      </c>
      <c r="B232" s="1">
        <v>0.28819444444444442</v>
      </c>
      <c r="C232" s="1">
        <v>0.49652777777777779</v>
      </c>
      <c r="D232" s="2">
        <v>0.20796296296296296</v>
      </c>
      <c r="E232">
        <v>29.86</v>
      </c>
      <c r="F232">
        <v>5.98</v>
      </c>
    </row>
    <row r="233" spans="1:6" x14ac:dyDescent="0.25">
      <c r="A233" t="s">
        <v>981</v>
      </c>
      <c r="B233" s="1">
        <v>0.27291666666666664</v>
      </c>
      <c r="C233" s="1">
        <v>0.45277777777777778</v>
      </c>
      <c r="D233" s="2">
        <v>0.1802199074074074</v>
      </c>
      <c r="E233">
        <v>29.86</v>
      </c>
      <c r="F233">
        <v>6.9</v>
      </c>
    </row>
    <row r="234" spans="1:6" x14ac:dyDescent="0.25">
      <c r="A234" t="s">
        <v>1088</v>
      </c>
      <c r="B234" s="1">
        <v>0.24305555555555555</v>
      </c>
      <c r="C234" s="1">
        <v>0.53472222222222221</v>
      </c>
      <c r="D234" s="2">
        <v>0.29175925925925927</v>
      </c>
      <c r="E234">
        <v>29.66</v>
      </c>
      <c r="F234">
        <v>4.24</v>
      </c>
    </row>
    <row r="235" spans="1:6" x14ac:dyDescent="0.25">
      <c r="A235" t="s">
        <v>44</v>
      </c>
      <c r="B235" s="1">
        <v>0.25972222222222224</v>
      </c>
      <c r="C235" s="1">
        <v>0.52361111111111114</v>
      </c>
      <c r="D235" s="2">
        <v>0.26415509259259257</v>
      </c>
      <c r="E235">
        <v>29.37</v>
      </c>
      <c r="F235">
        <v>4.63</v>
      </c>
    </row>
    <row r="236" spans="1:6" x14ac:dyDescent="0.25">
      <c r="A236" t="s">
        <v>909</v>
      </c>
      <c r="B236" s="1">
        <v>0.29444444444444445</v>
      </c>
      <c r="C236" s="1">
        <v>0.55138888888888893</v>
      </c>
      <c r="D236" s="2">
        <v>0.25655092592592593</v>
      </c>
      <c r="E236">
        <v>29.22</v>
      </c>
      <c r="F236">
        <v>4.75</v>
      </c>
    </row>
    <row r="237" spans="1:6" x14ac:dyDescent="0.25">
      <c r="A237" t="s">
        <v>994</v>
      </c>
      <c r="B237" s="1">
        <v>0.2986111111111111</v>
      </c>
      <c r="C237" s="1">
        <v>0.48680555555555555</v>
      </c>
      <c r="D237" s="2">
        <v>0.18758101851851852</v>
      </c>
      <c r="E237">
        <v>29.21</v>
      </c>
      <c r="F237">
        <v>6.49</v>
      </c>
    </row>
    <row r="238" spans="1:6" x14ac:dyDescent="0.25">
      <c r="A238" t="s">
        <v>37</v>
      </c>
      <c r="B238" s="1">
        <v>0.30069444444444443</v>
      </c>
      <c r="C238" s="1">
        <v>0.4465277777777778</v>
      </c>
      <c r="D238" s="2">
        <v>0.14592592592592593</v>
      </c>
      <c r="E238">
        <v>29.16</v>
      </c>
      <c r="F238">
        <v>8.33</v>
      </c>
    </row>
    <row r="239" spans="1:6" x14ac:dyDescent="0.25">
      <c r="A239" t="s">
        <v>116</v>
      </c>
      <c r="B239" s="1">
        <v>0.28194444444444444</v>
      </c>
      <c r="C239" s="1">
        <v>0.4826388888888889</v>
      </c>
      <c r="D239" s="2">
        <v>0.20040509259259259</v>
      </c>
      <c r="E239">
        <v>29.16</v>
      </c>
      <c r="F239">
        <v>6.06</v>
      </c>
    </row>
    <row r="240" spans="1:6" x14ac:dyDescent="0.25">
      <c r="A240" t="s">
        <v>1117</v>
      </c>
      <c r="B240" s="1">
        <v>0.25208333333333333</v>
      </c>
      <c r="C240" s="1">
        <v>0.57777777777777772</v>
      </c>
      <c r="D240" s="2">
        <v>0.32603009259259258</v>
      </c>
      <c r="E240">
        <v>29.14</v>
      </c>
      <c r="F240">
        <v>3.72</v>
      </c>
    </row>
    <row r="241" spans="1:6" x14ac:dyDescent="0.25">
      <c r="A241" t="s">
        <v>34</v>
      </c>
      <c r="B241" s="1">
        <v>0.29444444444444445</v>
      </c>
      <c r="C241" s="1">
        <v>0.58333333333333337</v>
      </c>
      <c r="D241" s="2">
        <v>0.2886111111111111</v>
      </c>
      <c r="E241">
        <v>29.12</v>
      </c>
      <c r="F241">
        <v>4.2</v>
      </c>
    </row>
    <row r="242" spans="1:6" x14ac:dyDescent="0.25">
      <c r="A242" t="s">
        <v>837</v>
      </c>
      <c r="B242" s="1">
        <v>3.0555555555555555E-2</v>
      </c>
      <c r="C242" s="1">
        <v>0.65763888888888888</v>
      </c>
      <c r="D242" s="2">
        <v>0.62728009259259254</v>
      </c>
      <c r="E242">
        <v>29.08</v>
      </c>
      <c r="F242">
        <v>1.93</v>
      </c>
    </row>
    <row r="243" spans="1:6" x14ac:dyDescent="0.25">
      <c r="A243" t="s">
        <v>1138</v>
      </c>
      <c r="B243" s="1">
        <v>0.31111111111111112</v>
      </c>
      <c r="C243" s="1">
        <v>0.62361111111111112</v>
      </c>
      <c r="D243" s="2">
        <v>0.31232638888888886</v>
      </c>
      <c r="E243">
        <v>28.99</v>
      </c>
      <c r="F243">
        <v>3.87</v>
      </c>
    </row>
    <row r="244" spans="1:6" x14ac:dyDescent="0.25">
      <c r="A244" t="s">
        <v>56</v>
      </c>
      <c r="B244" s="1">
        <v>0.28125</v>
      </c>
      <c r="C244" s="1">
        <v>0.50416666666666665</v>
      </c>
      <c r="D244" s="2">
        <v>0.22351851851851851</v>
      </c>
      <c r="E244">
        <v>28.67</v>
      </c>
      <c r="F244">
        <v>5.34</v>
      </c>
    </row>
    <row r="245" spans="1:6" x14ac:dyDescent="0.25">
      <c r="A245" t="s">
        <v>77</v>
      </c>
      <c r="B245" s="1">
        <v>0.3</v>
      </c>
      <c r="C245" s="1">
        <v>0.46527777777777779</v>
      </c>
      <c r="D245" s="2">
        <v>0.16575231481481481</v>
      </c>
      <c r="E245">
        <v>28.6</v>
      </c>
      <c r="F245">
        <v>7.19</v>
      </c>
    </row>
    <row r="246" spans="1:6" x14ac:dyDescent="0.25">
      <c r="A246" t="s">
        <v>820</v>
      </c>
      <c r="B246" s="1">
        <v>0.30625000000000002</v>
      </c>
      <c r="C246" s="1">
        <v>0.48055555555555557</v>
      </c>
      <c r="D246" s="2">
        <v>0.1741550925925926</v>
      </c>
      <c r="E246">
        <v>28.49</v>
      </c>
      <c r="F246">
        <v>6.82</v>
      </c>
    </row>
    <row r="247" spans="1:6" x14ac:dyDescent="0.25">
      <c r="A247" t="s">
        <v>103</v>
      </c>
      <c r="B247" s="1">
        <v>0.29236111111111113</v>
      </c>
      <c r="C247" s="1">
        <v>0.4548611111111111</v>
      </c>
      <c r="D247" s="2">
        <v>0.16280092592592593</v>
      </c>
      <c r="E247">
        <v>28.48</v>
      </c>
      <c r="F247">
        <v>7.29</v>
      </c>
    </row>
    <row r="248" spans="1:6" x14ac:dyDescent="0.25">
      <c r="A248" t="s">
        <v>961</v>
      </c>
      <c r="B248" s="1">
        <v>0.30902777777777779</v>
      </c>
      <c r="C248" s="1">
        <v>0.4861111111111111</v>
      </c>
      <c r="D248" s="2">
        <v>0.17700231481481482</v>
      </c>
      <c r="E248">
        <v>28.4</v>
      </c>
      <c r="F248">
        <v>6.69</v>
      </c>
    </row>
    <row r="249" spans="1:6" x14ac:dyDescent="0.25">
      <c r="A249" t="s">
        <v>80</v>
      </c>
      <c r="B249" s="1">
        <v>0.27777777777777779</v>
      </c>
      <c r="C249" s="1">
        <v>0.44930555555555557</v>
      </c>
      <c r="D249" s="2">
        <v>0.17097222222222222</v>
      </c>
      <c r="E249">
        <v>28.32</v>
      </c>
      <c r="F249">
        <v>6.9</v>
      </c>
    </row>
    <row r="250" spans="1:6" x14ac:dyDescent="0.25">
      <c r="A250" t="s">
        <v>1154</v>
      </c>
      <c r="B250" s="1">
        <v>0.36319444444444443</v>
      </c>
      <c r="C250" s="1">
        <v>0.66180555555555554</v>
      </c>
      <c r="D250" s="2">
        <v>0.29844907407407406</v>
      </c>
      <c r="E250">
        <v>28.3</v>
      </c>
      <c r="F250">
        <v>3.95</v>
      </c>
    </row>
    <row r="251" spans="1:6" x14ac:dyDescent="0.25">
      <c r="A251" t="s">
        <v>114</v>
      </c>
      <c r="B251" s="1">
        <v>0.28402777777777777</v>
      </c>
      <c r="C251" s="1">
        <v>0.4375</v>
      </c>
      <c r="D251" s="2">
        <v>0.15359953703703705</v>
      </c>
      <c r="E251">
        <v>28.25</v>
      </c>
      <c r="F251">
        <v>7.66</v>
      </c>
    </row>
    <row r="252" spans="1:6" x14ac:dyDescent="0.25">
      <c r="A252" t="s">
        <v>70</v>
      </c>
      <c r="B252" s="1">
        <v>0.27638888888888891</v>
      </c>
      <c r="C252" s="1">
        <v>0.48402777777777778</v>
      </c>
      <c r="D252" s="2">
        <v>0.20747685185185186</v>
      </c>
      <c r="E252">
        <v>28.24</v>
      </c>
      <c r="F252">
        <v>5.67</v>
      </c>
    </row>
    <row r="253" spans="1:6" x14ac:dyDescent="0.25">
      <c r="A253" t="s">
        <v>875</v>
      </c>
      <c r="B253" s="1">
        <v>0.28472222222222221</v>
      </c>
      <c r="C253" s="1">
        <v>0.55000000000000004</v>
      </c>
      <c r="D253" s="2">
        <v>0.26547453703703705</v>
      </c>
      <c r="E253">
        <v>28.24</v>
      </c>
      <c r="F253">
        <v>4.43</v>
      </c>
    </row>
    <row r="254" spans="1:6" x14ac:dyDescent="0.25">
      <c r="A254" t="s">
        <v>87</v>
      </c>
      <c r="B254" s="1">
        <v>0.26319444444444445</v>
      </c>
      <c r="C254" s="1">
        <v>0.48125000000000001</v>
      </c>
      <c r="D254" s="2">
        <v>0.2182523148148148</v>
      </c>
      <c r="E254">
        <v>28.09</v>
      </c>
      <c r="F254">
        <v>5.36</v>
      </c>
    </row>
    <row r="255" spans="1:6" x14ac:dyDescent="0.25">
      <c r="A255" t="s">
        <v>1221</v>
      </c>
      <c r="B255" s="1">
        <v>0.27361111111111114</v>
      </c>
      <c r="C255" s="1">
        <v>0.63680555555555551</v>
      </c>
      <c r="D255" s="2">
        <v>0.36284722222222221</v>
      </c>
      <c r="E255">
        <v>27.99</v>
      </c>
      <c r="F255">
        <v>3.21</v>
      </c>
    </row>
    <row r="256" spans="1:6" x14ac:dyDescent="0.25">
      <c r="A256" t="s">
        <v>1045</v>
      </c>
      <c r="B256" s="1">
        <v>0.30277777777777776</v>
      </c>
      <c r="C256" s="1">
        <v>0.50208333333333333</v>
      </c>
      <c r="D256" s="2">
        <v>0.19869212962962962</v>
      </c>
      <c r="E256">
        <v>27.93</v>
      </c>
      <c r="F256">
        <v>5.86</v>
      </c>
    </row>
    <row r="257" spans="1:6" x14ac:dyDescent="0.25">
      <c r="A257" t="s">
        <v>115</v>
      </c>
      <c r="B257" s="1">
        <v>0.28888888888888886</v>
      </c>
      <c r="C257" s="1">
        <v>0.56458333333333333</v>
      </c>
      <c r="D257" s="2">
        <v>0.2761689814814815</v>
      </c>
      <c r="E257">
        <v>27.89</v>
      </c>
      <c r="F257">
        <v>4.21</v>
      </c>
    </row>
    <row r="258" spans="1:6" x14ac:dyDescent="0.25">
      <c r="A258" t="s">
        <v>1075</v>
      </c>
      <c r="B258" s="1">
        <v>0.24791666666666667</v>
      </c>
      <c r="C258" s="1">
        <v>0.53541666666666665</v>
      </c>
      <c r="D258" s="2">
        <v>0.2870949074074074</v>
      </c>
      <c r="E258">
        <v>27.85</v>
      </c>
      <c r="F258">
        <v>4.04</v>
      </c>
    </row>
    <row r="259" spans="1:6" x14ac:dyDescent="0.25">
      <c r="A259" t="s">
        <v>58</v>
      </c>
      <c r="B259" s="1">
        <v>0.28749999999999998</v>
      </c>
      <c r="C259" s="1">
        <v>0.63958333333333328</v>
      </c>
      <c r="D259" s="2">
        <v>0.35241898148148149</v>
      </c>
      <c r="E259">
        <v>27.83</v>
      </c>
      <c r="F259">
        <v>3.29</v>
      </c>
    </row>
    <row r="260" spans="1:6" x14ac:dyDescent="0.25">
      <c r="A260" t="s">
        <v>998</v>
      </c>
      <c r="B260" s="1">
        <v>0.29166666666666669</v>
      </c>
      <c r="C260" s="1">
        <v>0.47430555555555554</v>
      </c>
      <c r="D260" s="2">
        <v>0.1825</v>
      </c>
      <c r="E260">
        <v>27.8</v>
      </c>
      <c r="F260">
        <v>6.35</v>
      </c>
    </row>
    <row r="261" spans="1:6" x14ac:dyDescent="0.25">
      <c r="A261" t="s">
        <v>1084</v>
      </c>
      <c r="B261" s="1">
        <v>0.29305555555555557</v>
      </c>
      <c r="C261" s="1">
        <v>0.48680555555555555</v>
      </c>
      <c r="D261" s="2">
        <v>0.19318287037037038</v>
      </c>
      <c r="E261">
        <v>27.78</v>
      </c>
      <c r="F261">
        <v>5.99</v>
      </c>
    </row>
    <row r="262" spans="1:6" x14ac:dyDescent="0.25">
      <c r="A262" t="s">
        <v>852</v>
      </c>
      <c r="B262" s="1">
        <v>0.28749999999999998</v>
      </c>
      <c r="C262" s="1">
        <v>0.57152777777777775</v>
      </c>
      <c r="D262" s="2">
        <v>0.28424768518518517</v>
      </c>
      <c r="E262">
        <v>27.72</v>
      </c>
      <c r="F262">
        <v>4.0599999999999996</v>
      </c>
    </row>
    <row r="263" spans="1:6" x14ac:dyDescent="0.25">
      <c r="A263" t="s">
        <v>108</v>
      </c>
      <c r="B263" s="1">
        <v>0.26874999999999999</v>
      </c>
      <c r="C263" s="1">
        <v>0.50486111111111109</v>
      </c>
      <c r="D263" s="2">
        <v>0.23624999999999999</v>
      </c>
      <c r="E263">
        <v>27.57</v>
      </c>
      <c r="F263">
        <v>4.8600000000000003</v>
      </c>
    </row>
    <row r="264" spans="1:6" x14ac:dyDescent="0.25">
      <c r="A264" t="s">
        <v>911</v>
      </c>
      <c r="B264" s="1">
        <v>2.0833333333333333E-3</v>
      </c>
      <c r="C264" s="1">
        <v>0.65694444444444444</v>
      </c>
      <c r="D264" s="2">
        <v>0.65512731481481479</v>
      </c>
      <c r="E264">
        <v>27.54</v>
      </c>
      <c r="F264">
        <v>1.75</v>
      </c>
    </row>
    <row r="265" spans="1:6" x14ac:dyDescent="0.25">
      <c r="A265" t="s">
        <v>987</v>
      </c>
      <c r="B265" s="1">
        <v>0.3527777777777778</v>
      </c>
      <c r="C265" s="1">
        <v>0.64930555555555558</v>
      </c>
      <c r="D265" s="2">
        <v>0.29643518518518519</v>
      </c>
      <c r="E265">
        <v>27.38</v>
      </c>
      <c r="F265">
        <v>3.85</v>
      </c>
    </row>
    <row r="266" spans="1:6" x14ac:dyDescent="0.25">
      <c r="A266" t="s">
        <v>859</v>
      </c>
      <c r="B266" s="1">
        <v>0.3347222222222222</v>
      </c>
      <c r="C266" s="1">
        <v>0.61736111111111114</v>
      </c>
      <c r="D266" s="2">
        <v>0.28270833333333334</v>
      </c>
      <c r="E266">
        <v>27.34</v>
      </c>
      <c r="F266">
        <v>4.03</v>
      </c>
    </row>
    <row r="267" spans="1:6" x14ac:dyDescent="0.25">
      <c r="A267" t="s">
        <v>84</v>
      </c>
      <c r="B267" s="1">
        <v>0.2590277777777778</v>
      </c>
      <c r="C267" s="1">
        <v>0.53263888888888888</v>
      </c>
      <c r="D267" s="2">
        <v>0.27359953703703704</v>
      </c>
      <c r="E267">
        <v>27.27</v>
      </c>
      <c r="F267">
        <v>4.1500000000000004</v>
      </c>
    </row>
    <row r="268" spans="1:6" x14ac:dyDescent="0.25">
      <c r="A268" t="s">
        <v>1240</v>
      </c>
      <c r="B268" s="1">
        <v>0.25277777777777777</v>
      </c>
      <c r="C268" s="1">
        <v>0.57013888888888886</v>
      </c>
      <c r="D268" s="2">
        <v>0.31736111111111109</v>
      </c>
      <c r="E268">
        <v>27.18</v>
      </c>
      <c r="F268">
        <v>3.57</v>
      </c>
    </row>
    <row r="269" spans="1:6" x14ac:dyDescent="0.25">
      <c r="A269" t="s">
        <v>1098</v>
      </c>
      <c r="B269" s="1">
        <v>0.28472222222222221</v>
      </c>
      <c r="C269" s="1">
        <v>0.60555555555555551</v>
      </c>
      <c r="D269" s="2">
        <v>0.32042824074074072</v>
      </c>
      <c r="E269">
        <v>27.13</v>
      </c>
      <c r="F269">
        <v>3.53</v>
      </c>
    </row>
    <row r="270" spans="1:6" x14ac:dyDescent="0.25">
      <c r="A270" t="s">
        <v>893</v>
      </c>
      <c r="B270" s="1">
        <v>0.36527777777777776</v>
      </c>
      <c r="C270" s="1">
        <v>0.58194444444444449</v>
      </c>
      <c r="D270" s="2">
        <v>0.21721064814814814</v>
      </c>
      <c r="E270">
        <v>27.01</v>
      </c>
      <c r="F270">
        <v>5.18</v>
      </c>
    </row>
    <row r="271" spans="1:6" x14ac:dyDescent="0.25">
      <c r="A271" t="s">
        <v>1035</v>
      </c>
      <c r="B271" s="1">
        <v>0.26319444444444445</v>
      </c>
      <c r="C271" s="1">
        <v>0.54791666666666672</v>
      </c>
      <c r="D271" s="2">
        <v>0.28491898148148148</v>
      </c>
      <c r="E271">
        <v>26.96</v>
      </c>
      <c r="F271">
        <v>3.94</v>
      </c>
    </row>
    <row r="272" spans="1:6" x14ac:dyDescent="0.25">
      <c r="A272" t="s">
        <v>35</v>
      </c>
      <c r="B272" s="1">
        <v>0.26805555555555555</v>
      </c>
      <c r="C272" s="1">
        <v>0.47222222222222221</v>
      </c>
      <c r="D272" s="2">
        <v>0.2044212962962963</v>
      </c>
      <c r="E272">
        <v>26.9</v>
      </c>
      <c r="F272">
        <v>5.48</v>
      </c>
    </row>
    <row r="273" spans="1:6" x14ac:dyDescent="0.25">
      <c r="A273" t="s">
        <v>1058</v>
      </c>
      <c r="B273" s="1">
        <v>0.33958333333333335</v>
      </c>
      <c r="C273" s="1">
        <v>0.66041666666666665</v>
      </c>
      <c r="D273" s="2">
        <v>0.32131944444444444</v>
      </c>
      <c r="E273">
        <v>26.83</v>
      </c>
      <c r="F273">
        <v>3.48</v>
      </c>
    </row>
    <row r="274" spans="1:6" x14ac:dyDescent="0.25">
      <c r="A274" t="s">
        <v>61</v>
      </c>
      <c r="B274" s="1">
        <v>0.29791666666666666</v>
      </c>
      <c r="C274" s="1">
        <v>0.50694444444444442</v>
      </c>
      <c r="D274" s="2">
        <v>0.20840277777777777</v>
      </c>
      <c r="E274">
        <v>26.79</v>
      </c>
      <c r="F274">
        <v>5.36</v>
      </c>
    </row>
    <row r="275" spans="1:6" x14ac:dyDescent="0.25">
      <c r="A275" t="s">
        <v>970</v>
      </c>
      <c r="B275" s="1">
        <v>0.28472222222222221</v>
      </c>
      <c r="C275" s="1">
        <v>0.5708333333333333</v>
      </c>
      <c r="D275" s="2">
        <v>0.28597222222222224</v>
      </c>
      <c r="E275">
        <v>26.78</v>
      </c>
      <c r="F275">
        <v>3.9</v>
      </c>
    </row>
    <row r="276" spans="1:6" x14ac:dyDescent="0.25">
      <c r="A276" t="s">
        <v>853</v>
      </c>
      <c r="B276" s="1">
        <v>0.23125000000000001</v>
      </c>
      <c r="C276" s="1">
        <v>0.49583333333333335</v>
      </c>
      <c r="D276" s="2">
        <v>0.26474537037037038</v>
      </c>
      <c r="E276">
        <v>26.78</v>
      </c>
      <c r="F276">
        <v>4.21</v>
      </c>
    </row>
    <row r="277" spans="1:6" x14ac:dyDescent="0.25">
      <c r="A277" t="s">
        <v>1025</v>
      </c>
      <c r="B277" s="1">
        <v>0.27013888888888887</v>
      </c>
      <c r="C277" s="1">
        <v>0.55347222222222225</v>
      </c>
      <c r="D277" s="2">
        <v>0.28325231481481483</v>
      </c>
      <c r="E277">
        <v>26.77</v>
      </c>
      <c r="F277">
        <v>3.94</v>
      </c>
    </row>
    <row r="278" spans="1:6" x14ac:dyDescent="0.25">
      <c r="A278" t="s">
        <v>937</v>
      </c>
      <c r="B278" s="1">
        <v>0.28888888888888886</v>
      </c>
      <c r="C278" s="1">
        <v>0.5493055555555556</v>
      </c>
      <c r="D278" s="2">
        <v>0.26050925925925927</v>
      </c>
      <c r="E278">
        <v>26.74</v>
      </c>
      <c r="F278">
        <v>4.28</v>
      </c>
    </row>
    <row r="279" spans="1:6" x14ac:dyDescent="0.25">
      <c r="A279" t="s">
        <v>839</v>
      </c>
      <c r="B279" s="1">
        <v>0.30486111111111114</v>
      </c>
      <c r="C279" s="1">
        <v>0.50555555555555554</v>
      </c>
      <c r="D279" s="2">
        <v>0.20079861111111111</v>
      </c>
      <c r="E279">
        <v>26.66</v>
      </c>
      <c r="F279">
        <v>5.53</v>
      </c>
    </row>
    <row r="280" spans="1:6" x14ac:dyDescent="0.25">
      <c r="A280" t="s">
        <v>1064</v>
      </c>
      <c r="B280" s="1">
        <v>0.28611111111111109</v>
      </c>
      <c r="C280" s="1">
        <v>0.45</v>
      </c>
      <c r="D280" s="2">
        <v>0.16390046296296296</v>
      </c>
      <c r="E280">
        <v>26.48</v>
      </c>
      <c r="F280">
        <v>6.73</v>
      </c>
    </row>
    <row r="281" spans="1:6" x14ac:dyDescent="0.25">
      <c r="A281" t="s">
        <v>1094</v>
      </c>
      <c r="B281" s="1">
        <v>0</v>
      </c>
      <c r="C281" s="1">
        <v>0.66180555555555554</v>
      </c>
      <c r="D281" s="2">
        <v>0.6613310185185185</v>
      </c>
      <c r="E281">
        <v>26.38</v>
      </c>
      <c r="F281">
        <v>1.66</v>
      </c>
    </row>
    <row r="282" spans="1:6" x14ac:dyDescent="0.25">
      <c r="A282" t="s">
        <v>1119</v>
      </c>
      <c r="B282" s="1">
        <v>0.33124999999999999</v>
      </c>
      <c r="C282" s="1">
        <v>0.59166666666666667</v>
      </c>
      <c r="D282" s="2">
        <v>0.26015046296296296</v>
      </c>
      <c r="E282">
        <v>26.19</v>
      </c>
      <c r="F282">
        <v>4.1900000000000004</v>
      </c>
    </row>
    <row r="283" spans="1:6" x14ac:dyDescent="0.25">
      <c r="A283" t="s">
        <v>989</v>
      </c>
      <c r="B283" s="1">
        <v>0.31458333333333333</v>
      </c>
      <c r="C283" s="1">
        <v>0.56944444444444442</v>
      </c>
      <c r="D283" s="2">
        <v>0.25545138888888891</v>
      </c>
      <c r="E283">
        <v>26.13</v>
      </c>
      <c r="F283">
        <v>4.26</v>
      </c>
    </row>
    <row r="284" spans="1:6" x14ac:dyDescent="0.25">
      <c r="A284" t="s">
        <v>1061</v>
      </c>
      <c r="B284" s="1">
        <v>0.28680555555555554</v>
      </c>
      <c r="C284" s="1">
        <v>0.6118055555555556</v>
      </c>
      <c r="D284" s="2">
        <v>0.32553240740740741</v>
      </c>
      <c r="E284">
        <v>26.11</v>
      </c>
      <c r="F284">
        <v>3.34</v>
      </c>
    </row>
    <row r="285" spans="1:6" x14ac:dyDescent="0.25">
      <c r="A285" t="s">
        <v>943</v>
      </c>
      <c r="B285" s="1">
        <v>0.31111111111111112</v>
      </c>
      <c r="C285" s="1">
        <v>0.55277777777777781</v>
      </c>
      <c r="D285" s="2">
        <v>0.24158564814814815</v>
      </c>
      <c r="E285">
        <v>26.09</v>
      </c>
      <c r="F285">
        <v>4.5</v>
      </c>
    </row>
    <row r="286" spans="1:6" x14ac:dyDescent="0.25">
      <c r="A286" t="s">
        <v>1040</v>
      </c>
      <c r="B286" s="1">
        <v>0.29722222222222222</v>
      </c>
      <c r="C286" s="1">
        <v>0.47638888888888886</v>
      </c>
      <c r="D286" s="2">
        <v>0.17916666666666667</v>
      </c>
      <c r="E286">
        <v>26.03</v>
      </c>
      <c r="F286">
        <v>6.05</v>
      </c>
    </row>
    <row r="287" spans="1:6" x14ac:dyDescent="0.25">
      <c r="A287" t="s">
        <v>959</v>
      </c>
      <c r="B287" s="1">
        <v>0.30555555555555558</v>
      </c>
      <c r="C287" s="1">
        <v>0.56319444444444444</v>
      </c>
      <c r="D287" s="2">
        <v>0.25763888888888886</v>
      </c>
      <c r="E287">
        <v>26</v>
      </c>
      <c r="F287">
        <v>4.21</v>
      </c>
    </row>
    <row r="288" spans="1:6" x14ac:dyDescent="0.25">
      <c r="A288" t="s">
        <v>1006</v>
      </c>
      <c r="B288" s="1">
        <v>0.29097222222222224</v>
      </c>
      <c r="C288" s="1">
        <v>0.51111111111111107</v>
      </c>
      <c r="D288" s="2">
        <v>0.22031249999999999</v>
      </c>
      <c r="E288">
        <v>25.99</v>
      </c>
      <c r="F288">
        <v>4.92</v>
      </c>
    </row>
    <row r="289" spans="1:6" x14ac:dyDescent="0.25">
      <c r="A289" t="s">
        <v>1140</v>
      </c>
      <c r="B289" s="1">
        <v>0.15277777777777779</v>
      </c>
      <c r="C289" s="1">
        <v>0.59930555555555554</v>
      </c>
      <c r="D289" s="2">
        <v>0.44631944444444444</v>
      </c>
      <c r="E289">
        <v>25.98</v>
      </c>
      <c r="F289">
        <v>2.4300000000000002</v>
      </c>
    </row>
    <row r="290" spans="1:6" x14ac:dyDescent="0.25">
      <c r="A290" t="s">
        <v>63</v>
      </c>
      <c r="B290" s="1">
        <v>0.15347222222222223</v>
      </c>
      <c r="C290" s="1">
        <v>0.46319444444444446</v>
      </c>
      <c r="D290" s="2">
        <v>0.31019675925925927</v>
      </c>
      <c r="E290">
        <v>25.85</v>
      </c>
      <c r="F290">
        <v>3.47</v>
      </c>
    </row>
    <row r="291" spans="1:6" x14ac:dyDescent="0.25">
      <c r="A291" t="s">
        <v>118</v>
      </c>
      <c r="B291" s="1">
        <v>0.31319444444444444</v>
      </c>
      <c r="C291" s="1">
        <v>0.47222222222222221</v>
      </c>
      <c r="D291" s="2">
        <v>0.15907407407407406</v>
      </c>
      <c r="E291">
        <v>25.78</v>
      </c>
      <c r="F291">
        <v>6.75</v>
      </c>
    </row>
    <row r="292" spans="1:6" x14ac:dyDescent="0.25">
      <c r="A292" t="s">
        <v>1071</v>
      </c>
      <c r="B292" s="1">
        <v>0.28402777777777777</v>
      </c>
      <c r="C292" s="1">
        <v>0.46041666666666664</v>
      </c>
      <c r="D292" s="2">
        <v>0.17648148148148149</v>
      </c>
      <c r="E292">
        <v>25.72</v>
      </c>
      <c r="F292">
        <v>6.07</v>
      </c>
    </row>
    <row r="293" spans="1:6" x14ac:dyDescent="0.25">
      <c r="A293" t="s">
        <v>874</v>
      </c>
      <c r="B293" s="1">
        <v>0.28402777777777777</v>
      </c>
      <c r="C293" s="1">
        <v>0.49027777777777776</v>
      </c>
      <c r="D293" s="2">
        <v>0.20592592592592593</v>
      </c>
      <c r="E293">
        <v>25.7</v>
      </c>
      <c r="F293">
        <v>5.2</v>
      </c>
    </row>
    <row r="294" spans="1:6" x14ac:dyDescent="0.25">
      <c r="A294" t="s">
        <v>1062</v>
      </c>
      <c r="B294" s="1">
        <v>0.29097222222222224</v>
      </c>
      <c r="C294" s="1">
        <v>0.52013888888888893</v>
      </c>
      <c r="D294" s="2">
        <v>0.22961805555555556</v>
      </c>
      <c r="E294">
        <v>25.62</v>
      </c>
      <c r="F294">
        <v>4.6500000000000004</v>
      </c>
    </row>
    <row r="295" spans="1:6" x14ac:dyDescent="0.25">
      <c r="A295" t="s">
        <v>936</v>
      </c>
      <c r="B295" s="1">
        <v>0.31041666666666667</v>
      </c>
      <c r="C295" s="1">
        <v>0.55277777777777781</v>
      </c>
      <c r="D295" s="2">
        <v>0.24269675925925926</v>
      </c>
      <c r="E295">
        <v>25.56</v>
      </c>
      <c r="F295">
        <v>4.3899999999999997</v>
      </c>
    </row>
    <row r="296" spans="1:6" x14ac:dyDescent="0.25">
      <c r="A296" t="s">
        <v>901</v>
      </c>
      <c r="B296" s="1">
        <v>0.26944444444444443</v>
      </c>
      <c r="C296" s="1">
        <v>0.45555555555555555</v>
      </c>
      <c r="D296" s="2">
        <v>0.18641203703703704</v>
      </c>
      <c r="E296">
        <v>25.52</v>
      </c>
      <c r="F296">
        <v>5.7</v>
      </c>
    </row>
    <row r="297" spans="1:6" x14ac:dyDescent="0.25">
      <c r="A297" t="s">
        <v>81</v>
      </c>
      <c r="B297" s="1">
        <v>0.30902777777777779</v>
      </c>
      <c r="C297" s="1">
        <v>0.49166666666666664</v>
      </c>
      <c r="D297" s="2">
        <v>0.18268518518518517</v>
      </c>
      <c r="E297">
        <v>25.18</v>
      </c>
      <c r="F297">
        <v>5.74</v>
      </c>
    </row>
    <row r="298" spans="1:6" x14ac:dyDescent="0.25">
      <c r="A298" t="s">
        <v>949</v>
      </c>
      <c r="B298" s="1">
        <v>0.31041666666666667</v>
      </c>
      <c r="C298" s="1">
        <v>0.58750000000000002</v>
      </c>
      <c r="D298" s="2">
        <v>0.27721064814814816</v>
      </c>
      <c r="E298">
        <v>25.18</v>
      </c>
      <c r="F298">
        <v>3.78</v>
      </c>
    </row>
    <row r="299" spans="1:6" x14ac:dyDescent="0.25">
      <c r="A299" t="s">
        <v>40</v>
      </c>
      <c r="B299" s="1">
        <v>0.30416666666666664</v>
      </c>
      <c r="C299" s="1">
        <v>0.49444444444444446</v>
      </c>
      <c r="D299" s="2">
        <v>0.19040509259259258</v>
      </c>
      <c r="E299">
        <v>25.12</v>
      </c>
      <c r="F299">
        <v>5.5</v>
      </c>
    </row>
    <row r="300" spans="1:6" x14ac:dyDescent="0.25">
      <c r="A300" t="s">
        <v>1053</v>
      </c>
      <c r="B300" s="1">
        <v>0.23680555555555555</v>
      </c>
      <c r="C300" s="1">
        <v>0.46250000000000002</v>
      </c>
      <c r="D300" s="2">
        <v>0.22537037037037036</v>
      </c>
      <c r="E300">
        <v>25.09</v>
      </c>
      <c r="F300">
        <v>4.6399999999999997</v>
      </c>
    </row>
    <row r="301" spans="1:6" x14ac:dyDescent="0.25">
      <c r="A301" t="s">
        <v>1029</v>
      </c>
      <c r="B301" s="1">
        <v>0.29305555555555557</v>
      </c>
      <c r="C301" s="1">
        <v>0.65555555555555556</v>
      </c>
      <c r="D301" s="2">
        <v>0.36253472222222222</v>
      </c>
      <c r="E301">
        <v>25.02</v>
      </c>
      <c r="F301">
        <v>2.88</v>
      </c>
    </row>
    <row r="302" spans="1:6" x14ac:dyDescent="0.25">
      <c r="A302" t="s">
        <v>919</v>
      </c>
      <c r="B302" s="1">
        <v>0.28958333333333336</v>
      </c>
      <c r="C302" s="1">
        <v>0.49236111111111114</v>
      </c>
      <c r="D302" s="2">
        <v>0.20224537037037038</v>
      </c>
      <c r="E302">
        <v>24.93</v>
      </c>
      <c r="F302">
        <v>5.14</v>
      </c>
    </row>
    <row r="303" spans="1:6" x14ac:dyDescent="0.25">
      <c r="A303" t="s">
        <v>1021</v>
      </c>
      <c r="B303" s="1">
        <v>0.2673611111111111</v>
      </c>
      <c r="C303" s="1">
        <v>0.46944444444444444</v>
      </c>
      <c r="D303" s="2">
        <v>0.20252314814814815</v>
      </c>
      <c r="E303">
        <v>24.82</v>
      </c>
      <c r="F303">
        <v>5.1100000000000003</v>
      </c>
    </row>
    <row r="304" spans="1:6" x14ac:dyDescent="0.25">
      <c r="A304" t="s">
        <v>896</v>
      </c>
      <c r="B304" s="1">
        <v>0.27152777777777776</v>
      </c>
      <c r="C304" s="1">
        <v>0.56041666666666667</v>
      </c>
      <c r="D304" s="2">
        <v>0.28885416666666669</v>
      </c>
      <c r="E304">
        <v>24.81</v>
      </c>
      <c r="F304">
        <v>3.58</v>
      </c>
    </row>
    <row r="305" spans="1:6" x14ac:dyDescent="0.25">
      <c r="A305" t="s">
        <v>770</v>
      </c>
      <c r="B305" s="1">
        <v>0.29236111111111113</v>
      </c>
      <c r="C305" s="1">
        <v>0.66249999999999998</v>
      </c>
      <c r="D305" s="2">
        <v>0.37019675925925927</v>
      </c>
      <c r="E305">
        <v>24.69</v>
      </c>
      <c r="F305">
        <v>2.78</v>
      </c>
    </row>
    <row r="306" spans="1:6" x14ac:dyDescent="0.25">
      <c r="A306" t="s">
        <v>908</v>
      </c>
      <c r="B306" s="1">
        <v>0.33819444444444446</v>
      </c>
      <c r="C306" s="1">
        <v>0.6118055555555556</v>
      </c>
      <c r="D306" s="2">
        <v>0.27399305555555553</v>
      </c>
      <c r="E306">
        <v>24.66</v>
      </c>
      <c r="F306">
        <v>3.75</v>
      </c>
    </row>
    <row r="307" spans="1:6" x14ac:dyDescent="0.25">
      <c r="A307" t="s">
        <v>92</v>
      </c>
      <c r="B307" s="1">
        <v>0.28819444444444442</v>
      </c>
      <c r="C307" s="1">
        <v>0.49166666666666664</v>
      </c>
      <c r="D307" s="2">
        <v>0.20347222222222222</v>
      </c>
      <c r="E307">
        <v>24.65</v>
      </c>
      <c r="F307">
        <v>5.05</v>
      </c>
    </row>
    <row r="308" spans="1:6" x14ac:dyDescent="0.25">
      <c r="A308" t="s">
        <v>813</v>
      </c>
      <c r="B308" s="1">
        <v>0.27916666666666667</v>
      </c>
      <c r="C308" s="1">
        <v>0.58680555555555558</v>
      </c>
      <c r="D308" s="2">
        <v>0.3074884259259259</v>
      </c>
      <c r="E308">
        <v>24.53</v>
      </c>
      <c r="F308">
        <v>3.32</v>
      </c>
    </row>
    <row r="309" spans="1:6" x14ac:dyDescent="0.25">
      <c r="A309" t="s">
        <v>54</v>
      </c>
      <c r="B309" s="1">
        <v>0.30902777777777779</v>
      </c>
      <c r="C309" s="1">
        <v>0.44236111111111109</v>
      </c>
      <c r="D309" s="2">
        <v>0.13342592592592592</v>
      </c>
      <c r="E309">
        <v>24.45</v>
      </c>
      <c r="F309">
        <v>7.64</v>
      </c>
    </row>
    <row r="310" spans="1:6" x14ac:dyDescent="0.25">
      <c r="A310" t="s">
        <v>1007</v>
      </c>
      <c r="B310" s="1">
        <v>0.22500000000000001</v>
      </c>
      <c r="C310" s="1">
        <v>0.48055555555555557</v>
      </c>
      <c r="D310" s="2">
        <v>0.25559027777777776</v>
      </c>
      <c r="E310">
        <v>24.39</v>
      </c>
      <c r="F310">
        <v>3.98</v>
      </c>
    </row>
    <row r="311" spans="1:6" x14ac:dyDescent="0.25">
      <c r="A311" t="s">
        <v>1019</v>
      </c>
      <c r="B311" s="1">
        <v>0.32500000000000001</v>
      </c>
      <c r="C311" s="1">
        <v>0.48749999999999999</v>
      </c>
      <c r="D311" s="2">
        <v>0.16251157407407407</v>
      </c>
      <c r="E311">
        <v>24.04</v>
      </c>
      <c r="F311">
        <v>6.16</v>
      </c>
    </row>
    <row r="312" spans="1:6" x14ac:dyDescent="0.25">
      <c r="A312" t="s">
        <v>1002</v>
      </c>
      <c r="B312" s="1">
        <v>0.29930555555555555</v>
      </c>
      <c r="C312" s="1">
        <v>0.64513888888888893</v>
      </c>
      <c r="D312" s="2">
        <v>0.34554398148148147</v>
      </c>
      <c r="E312">
        <v>23.99</v>
      </c>
      <c r="F312">
        <v>2.89</v>
      </c>
    </row>
    <row r="313" spans="1:6" x14ac:dyDescent="0.25">
      <c r="A313" t="s">
        <v>947</v>
      </c>
      <c r="B313" s="1">
        <v>0.26250000000000001</v>
      </c>
      <c r="C313" s="1">
        <v>0.50902777777777775</v>
      </c>
      <c r="D313" s="2">
        <v>0.24601851851851853</v>
      </c>
      <c r="E313">
        <v>23.97</v>
      </c>
      <c r="F313">
        <v>4.0599999999999996</v>
      </c>
    </row>
    <row r="314" spans="1:6" x14ac:dyDescent="0.25">
      <c r="A314" t="s">
        <v>111</v>
      </c>
      <c r="B314" s="1">
        <v>0.26597222222222222</v>
      </c>
      <c r="C314" s="1">
        <v>0.54027777777777775</v>
      </c>
      <c r="D314" s="2">
        <v>0.27429398148148149</v>
      </c>
      <c r="E314">
        <v>23.87</v>
      </c>
      <c r="F314">
        <v>3.63</v>
      </c>
    </row>
    <row r="315" spans="1:6" x14ac:dyDescent="0.25">
      <c r="A315" t="s">
        <v>1102</v>
      </c>
      <c r="B315" s="1">
        <v>0.3034722222222222</v>
      </c>
      <c r="C315" s="1">
        <v>0.55208333333333337</v>
      </c>
      <c r="D315" s="2">
        <v>0.24879629629629629</v>
      </c>
      <c r="E315">
        <v>23.66</v>
      </c>
      <c r="F315">
        <v>3.96</v>
      </c>
    </row>
    <row r="316" spans="1:6" x14ac:dyDescent="0.25">
      <c r="A316" t="s">
        <v>945</v>
      </c>
      <c r="B316" s="1">
        <v>0.28680555555555554</v>
      </c>
      <c r="C316" s="1">
        <v>0.52569444444444446</v>
      </c>
      <c r="D316" s="2">
        <v>0.23883101851851851</v>
      </c>
      <c r="E316">
        <v>23.63</v>
      </c>
      <c r="F316">
        <v>4.12</v>
      </c>
    </row>
    <row r="317" spans="1:6" x14ac:dyDescent="0.25">
      <c r="A317" t="s">
        <v>1022</v>
      </c>
      <c r="B317" s="1">
        <v>0.27569444444444446</v>
      </c>
      <c r="C317" s="1">
        <v>0.56458333333333333</v>
      </c>
      <c r="D317" s="2">
        <v>0.28901620370370368</v>
      </c>
      <c r="E317">
        <v>23.58</v>
      </c>
      <c r="F317">
        <v>3.4</v>
      </c>
    </row>
    <row r="318" spans="1:6" x14ac:dyDescent="0.25">
      <c r="A318" t="s">
        <v>65</v>
      </c>
      <c r="B318" s="1">
        <v>0.2722222222222222</v>
      </c>
      <c r="C318" s="1">
        <v>0.45902777777777776</v>
      </c>
      <c r="D318" s="2">
        <v>0.18643518518518518</v>
      </c>
      <c r="E318">
        <v>23.52</v>
      </c>
      <c r="F318">
        <v>5.26</v>
      </c>
    </row>
    <row r="319" spans="1:6" x14ac:dyDescent="0.25">
      <c r="A319" t="s">
        <v>977</v>
      </c>
      <c r="B319" s="1">
        <v>0.25486111111111109</v>
      </c>
      <c r="C319" s="1">
        <v>0.64930555555555558</v>
      </c>
      <c r="D319" s="2">
        <v>0.39479166666666665</v>
      </c>
      <c r="E319">
        <v>23.29</v>
      </c>
      <c r="F319">
        <v>2.46</v>
      </c>
    </row>
    <row r="320" spans="1:6" x14ac:dyDescent="0.25">
      <c r="A320" t="s">
        <v>91</v>
      </c>
      <c r="B320" s="1">
        <v>0.28611111111111109</v>
      </c>
      <c r="C320" s="1">
        <v>0.52916666666666667</v>
      </c>
      <c r="D320" s="2">
        <v>0.24309027777777778</v>
      </c>
      <c r="E320">
        <v>23.2</v>
      </c>
      <c r="F320">
        <v>3.98</v>
      </c>
    </row>
    <row r="321" spans="1:6" x14ac:dyDescent="0.25">
      <c r="A321" t="s">
        <v>1097</v>
      </c>
      <c r="B321" s="1">
        <v>0.28888888888888886</v>
      </c>
      <c r="C321" s="1">
        <v>0.45277777777777778</v>
      </c>
      <c r="D321" s="2">
        <v>0.1640625</v>
      </c>
      <c r="E321">
        <v>23.16</v>
      </c>
      <c r="F321">
        <v>5.88</v>
      </c>
    </row>
    <row r="322" spans="1:6" x14ac:dyDescent="0.25">
      <c r="A322" t="s">
        <v>121</v>
      </c>
      <c r="B322" s="1">
        <v>0.27777777777777779</v>
      </c>
      <c r="C322" s="1">
        <v>0.53819444444444442</v>
      </c>
      <c r="D322" s="2">
        <v>0.26069444444444445</v>
      </c>
      <c r="E322">
        <v>23.1</v>
      </c>
      <c r="F322">
        <v>3.69</v>
      </c>
    </row>
    <row r="323" spans="1:6" x14ac:dyDescent="0.25">
      <c r="A323" t="s">
        <v>75</v>
      </c>
      <c r="B323" s="1">
        <v>0.22361111111111112</v>
      </c>
      <c r="C323" s="1">
        <v>0.51041666666666663</v>
      </c>
      <c r="D323" s="2">
        <v>0.28677083333333331</v>
      </c>
      <c r="E323">
        <v>23.05</v>
      </c>
      <c r="F323">
        <v>3.35</v>
      </c>
    </row>
    <row r="324" spans="1:6" x14ac:dyDescent="0.25">
      <c r="A324" t="s">
        <v>988</v>
      </c>
      <c r="B324" s="1">
        <v>0.31180555555555556</v>
      </c>
      <c r="C324" s="1">
        <v>0.49444444444444446</v>
      </c>
      <c r="D324" s="2">
        <v>0.18306712962962962</v>
      </c>
      <c r="E324">
        <v>22.88</v>
      </c>
      <c r="F324">
        <v>5.21</v>
      </c>
    </row>
    <row r="325" spans="1:6" x14ac:dyDescent="0.25">
      <c r="A325" t="s">
        <v>1232</v>
      </c>
      <c r="B325" s="1">
        <v>0.33124999999999999</v>
      </c>
      <c r="C325" s="1">
        <v>0.56944444444444442</v>
      </c>
      <c r="D325" s="2">
        <v>0.23780092592592592</v>
      </c>
      <c r="E325">
        <v>22.83</v>
      </c>
      <c r="F325">
        <v>4</v>
      </c>
    </row>
    <row r="326" spans="1:6" x14ac:dyDescent="0.25">
      <c r="A326" t="s">
        <v>841</v>
      </c>
      <c r="B326" s="1">
        <v>0.32500000000000001</v>
      </c>
      <c r="C326" s="1">
        <v>0.52916666666666667</v>
      </c>
      <c r="D326" s="2">
        <v>0.20391203703703703</v>
      </c>
      <c r="E326">
        <v>22.79</v>
      </c>
      <c r="F326">
        <v>4.66</v>
      </c>
    </row>
    <row r="327" spans="1:6" x14ac:dyDescent="0.25">
      <c r="A327" t="s">
        <v>1136</v>
      </c>
      <c r="B327" s="1">
        <v>6.2500000000000003E-3</v>
      </c>
      <c r="C327" s="1">
        <v>0.64375000000000004</v>
      </c>
      <c r="D327" s="2">
        <v>0.63767361111111109</v>
      </c>
      <c r="E327">
        <v>22.75</v>
      </c>
      <c r="F327">
        <v>1.49</v>
      </c>
    </row>
    <row r="328" spans="1:6" x14ac:dyDescent="0.25">
      <c r="A328" t="s">
        <v>72</v>
      </c>
      <c r="B328" s="1">
        <v>0.31805555555555554</v>
      </c>
      <c r="C328" s="1">
        <v>0.50138888888888888</v>
      </c>
      <c r="D328" s="2">
        <v>0.18313657407407408</v>
      </c>
      <c r="E328">
        <v>22.58</v>
      </c>
      <c r="F328">
        <v>5.14</v>
      </c>
    </row>
    <row r="329" spans="1:6" x14ac:dyDescent="0.25">
      <c r="A329" t="s">
        <v>1059</v>
      </c>
      <c r="B329" s="1">
        <v>0.27986111111111112</v>
      </c>
      <c r="C329" s="1">
        <v>0.5131944444444444</v>
      </c>
      <c r="D329" s="2">
        <v>0.2328587962962963</v>
      </c>
      <c r="E329">
        <v>22.58</v>
      </c>
      <c r="F329">
        <v>4.04</v>
      </c>
    </row>
    <row r="330" spans="1:6" x14ac:dyDescent="0.25">
      <c r="A330" t="s">
        <v>807</v>
      </c>
      <c r="B330" s="1">
        <v>5.1388888888888887E-2</v>
      </c>
      <c r="C330" s="1">
        <v>0.64236111111111116</v>
      </c>
      <c r="D330" s="2">
        <v>0.59081018518518513</v>
      </c>
      <c r="E330">
        <v>22.54</v>
      </c>
      <c r="F330">
        <v>1.59</v>
      </c>
    </row>
    <row r="331" spans="1:6" x14ac:dyDescent="0.25">
      <c r="A331" t="s">
        <v>1060</v>
      </c>
      <c r="B331" s="1">
        <v>0.28611111111111109</v>
      </c>
      <c r="C331" s="1">
        <v>0.52847222222222223</v>
      </c>
      <c r="D331" s="2">
        <v>0.24211805555555554</v>
      </c>
      <c r="E331">
        <v>22.44</v>
      </c>
      <c r="F331">
        <v>3.86</v>
      </c>
    </row>
    <row r="332" spans="1:6" x14ac:dyDescent="0.25">
      <c r="A332" t="s">
        <v>922</v>
      </c>
      <c r="B332" s="1">
        <v>3.472222222222222E-3</v>
      </c>
      <c r="C332" s="1">
        <v>0.65763888888888888</v>
      </c>
      <c r="D332" s="2">
        <v>0.65422453703703709</v>
      </c>
      <c r="E332">
        <v>22.33</v>
      </c>
      <c r="F332">
        <v>1.42</v>
      </c>
    </row>
    <row r="333" spans="1:6" x14ac:dyDescent="0.25">
      <c r="A333" t="s">
        <v>918</v>
      </c>
      <c r="B333" s="1">
        <v>0.27361111111111114</v>
      </c>
      <c r="C333" s="1">
        <v>0.41319444444444442</v>
      </c>
      <c r="D333" s="2">
        <v>0.14001157407407408</v>
      </c>
      <c r="E333">
        <v>22.19</v>
      </c>
      <c r="F333">
        <v>6.6</v>
      </c>
    </row>
    <row r="334" spans="1:6" x14ac:dyDescent="0.25">
      <c r="A334" t="s">
        <v>53</v>
      </c>
      <c r="B334" s="1">
        <v>0.26458333333333334</v>
      </c>
      <c r="C334" s="1">
        <v>0.44166666666666665</v>
      </c>
      <c r="D334" s="2">
        <v>0.17697916666666666</v>
      </c>
      <c r="E334">
        <v>22.18</v>
      </c>
      <c r="F334">
        <v>5.22</v>
      </c>
    </row>
    <row r="335" spans="1:6" x14ac:dyDescent="0.25">
      <c r="A335" t="s">
        <v>964</v>
      </c>
      <c r="B335" s="1">
        <v>0.1423611111111111</v>
      </c>
      <c r="C335" s="1">
        <v>0.46111111111111114</v>
      </c>
      <c r="D335" s="2">
        <v>0.31877314814814817</v>
      </c>
      <c r="E335">
        <v>22.17</v>
      </c>
      <c r="F335">
        <v>2.9</v>
      </c>
    </row>
    <row r="336" spans="1:6" x14ac:dyDescent="0.25">
      <c r="A336" t="s">
        <v>1067</v>
      </c>
      <c r="B336" s="1">
        <v>0.31319444444444444</v>
      </c>
      <c r="C336" s="1">
        <v>0.53055555555555556</v>
      </c>
      <c r="D336" s="2">
        <v>0.21732638888888889</v>
      </c>
      <c r="E336">
        <v>22.09</v>
      </c>
      <c r="F336">
        <v>4.24</v>
      </c>
    </row>
    <row r="337" spans="1:6" x14ac:dyDescent="0.25">
      <c r="A337" t="s">
        <v>1093</v>
      </c>
      <c r="B337" s="1">
        <v>1.4583333333333334E-2</v>
      </c>
      <c r="C337" s="1">
        <v>0.63958333333333328</v>
      </c>
      <c r="D337" s="2">
        <v>0.62480324074074078</v>
      </c>
      <c r="E337">
        <v>22</v>
      </c>
      <c r="F337">
        <v>1.47</v>
      </c>
    </row>
    <row r="338" spans="1:6" x14ac:dyDescent="0.25">
      <c r="A338" t="s">
        <v>955</v>
      </c>
      <c r="B338" s="1">
        <v>0.32569444444444445</v>
      </c>
      <c r="C338" s="1">
        <v>0.65833333333333333</v>
      </c>
      <c r="D338" s="2">
        <v>0.33269675925925923</v>
      </c>
      <c r="E338">
        <v>21.95</v>
      </c>
      <c r="F338">
        <v>2.75</v>
      </c>
    </row>
    <row r="339" spans="1:6" x14ac:dyDescent="0.25">
      <c r="A339" t="s">
        <v>1173</v>
      </c>
      <c r="B339" s="1">
        <v>0.29166666666666669</v>
      </c>
      <c r="C339" s="1">
        <v>0.48125000000000001</v>
      </c>
      <c r="D339" s="2">
        <v>0.18957175925925926</v>
      </c>
      <c r="E339">
        <v>21.88</v>
      </c>
      <c r="F339">
        <v>4.8099999999999996</v>
      </c>
    </row>
    <row r="340" spans="1:6" x14ac:dyDescent="0.25">
      <c r="A340" t="s">
        <v>99</v>
      </c>
      <c r="B340" s="1">
        <v>0.29652777777777778</v>
      </c>
      <c r="C340" s="1">
        <v>0.49722222222222223</v>
      </c>
      <c r="D340" s="2">
        <v>0.20078703703703704</v>
      </c>
      <c r="E340">
        <v>21.83</v>
      </c>
      <c r="F340">
        <v>4.53</v>
      </c>
    </row>
    <row r="341" spans="1:6" x14ac:dyDescent="0.25">
      <c r="A341" t="s">
        <v>98</v>
      </c>
      <c r="B341" s="1">
        <v>0.28819444444444442</v>
      </c>
      <c r="C341" s="1">
        <v>0.66249999999999998</v>
      </c>
      <c r="D341" s="2">
        <v>0.37402777777777779</v>
      </c>
      <c r="E341">
        <v>21.75</v>
      </c>
      <c r="F341">
        <v>2.42</v>
      </c>
    </row>
    <row r="342" spans="1:6" x14ac:dyDescent="0.25">
      <c r="A342" t="s">
        <v>756</v>
      </c>
      <c r="B342" s="1">
        <v>0.29236111111111113</v>
      </c>
      <c r="C342" s="1">
        <v>0.49166666666666664</v>
      </c>
      <c r="D342" s="2">
        <v>0.199375</v>
      </c>
      <c r="E342">
        <v>21.67</v>
      </c>
      <c r="F342">
        <v>4.53</v>
      </c>
    </row>
    <row r="343" spans="1:6" x14ac:dyDescent="0.25">
      <c r="A343" t="s">
        <v>814</v>
      </c>
      <c r="B343" s="1">
        <v>0.26527777777777778</v>
      </c>
      <c r="C343" s="1">
        <v>0.61736111111111114</v>
      </c>
      <c r="D343" s="2">
        <v>0.35215277777777776</v>
      </c>
      <c r="E343">
        <v>21.66</v>
      </c>
      <c r="F343">
        <v>2.56</v>
      </c>
    </row>
    <row r="344" spans="1:6" x14ac:dyDescent="0.25">
      <c r="A344" t="s">
        <v>950</v>
      </c>
      <c r="B344" s="1">
        <v>0.29791666666666666</v>
      </c>
      <c r="C344" s="1">
        <v>0.48402777777777778</v>
      </c>
      <c r="D344" s="2">
        <v>0.18601851851851853</v>
      </c>
      <c r="E344">
        <v>21.66</v>
      </c>
      <c r="F344">
        <v>4.8499999999999996</v>
      </c>
    </row>
    <row r="345" spans="1:6" x14ac:dyDescent="0.25">
      <c r="A345" t="s">
        <v>52</v>
      </c>
      <c r="B345" s="1">
        <v>0.28263888888888888</v>
      </c>
      <c r="C345" s="1">
        <v>0.42222222222222222</v>
      </c>
      <c r="D345" s="2">
        <v>0.14006944444444444</v>
      </c>
      <c r="E345">
        <v>21.61</v>
      </c>
      <c r="F345">
        <v>6.43</v>
      </c>
    </row>
    <row r="346" spans="1:6" x14ac:dyDescent="0.25">
      <c r="A346" t="s">
        <v>1080</v>
      </c>
      <c r="B346" s="1">
        <v>0.19583333333333333</v>
      </c>
      <c r="C346" s="1">
        <v>0.6020833333333333</v>
      </c>
      <c r="D346" s="2">
        <v>0.4067013888888889</v>
      </c>
      <c r="E346">
        <v>21.51</v>
      </c>
      <c r="F346">
        <v>2.2000000000000002</v>
      </c>
    </row>
    <row r="347" spans="1:6" x14ac:dyDescent="0.25">
      <c r="A347" t="s">
        <v>1054</v>
      </c>
      <c r="B347" s="1">
        <v>0.30972222222222223</v>
      </c>
      <c r="C347" s="1">
        <v>0.50555555555555554</v>
      </c>
      <c r="D347" s="2">
        <v>0.19616898148148149</v>
      </c>
      <c r="E347">
        <v>21.51</v>
      </c>
      <c r="F347">
        <v>4.57</v>
      </c>
    </row>
    <row r="348" spans="1:6" x14ac:dyDescent="0.25">
      <c r="A348" t="s">
        <v>997</v>
      </c>
      <c r="B348" s="1">
        <v>0</v>
      </c>
      <c r="C348" s="1">
        <v>0.65972222222222221</v>
      </c>
      <c r="D348" s="2">
        <v>0.66027777777777774</v>
      </c>
      <c r="E348">
        <v>21.5</v>
      </c>
      <c r="F348">
        <v>1.36</v>
      </c>
    </row>
    <row r="349" spans="1:6" x14ac:dyDescent="0.25">
      <c r="A349" t="s">
        <v>79</v>
      </c>
      <c r="B349" s="1">
        <v>0.28819444444444442</v>
      </c>
      <c r="C349" s="1">
        <v>0.47638888888888886</v>
      </c>
      <c r="D349" s="2">
        <v>0.18770833333333334</v>
      </c>
      <c r="E349">
        <v>21.49</v>
      </c>
      <c r="F349">
        <v>4.7699999999999996</v>
      </c>
    </row>
    <row r="350" spans="1:6" x14ac:dyDescent="0.25">
      <c r="A350" t="s">
        <v>913</v>
      </c>
      <c r="B350" s="1">
        <v>0.28749999999999998</v>
      </c>
      <c r="C350" s="1">
        <v>0.62916666666666665</v>
      </c>
      <c r="D350" s="2">
        <v>0.34141203703703704</v>
      </c>
      <c r="E350">
        <v>21.45</v>
      </c>
      <c r="F350">
        <v>2.62</v>
      </c>
    </row>
    <row r="351" spans="1:6" x14ac:dyDescent="0.25">
      <c r="A351" t="s">
        <v>1130</v>
      </c>
      <c r="B351" s="1">
        <v>0.30277777777777776</v>
      </c>
      <c r="C351" s="1">
        <v>0.56736111111111109</v>
      </c>
      <c r="D351" s="2">
        <v>0.26438657407407407</v>
      </c>
      <c r="E351">
        <v>21.45</v>
      </c>
      <c r="F351">
        <v>3.38</v>
      </c>
    </row>
    <row r="352" spans="1:6" x14ac:dyDescent="0.25">
      <c r="A352" t="s">
        <v>145</v>
      </c>
      <c r="B352" s="1">
        <v>0.30694444444444446</v>
      </c>
      <c r="C352" s="1">
        <v>0.48819444444444443</v>
      </c>
      <c r="D352" s="2">
        <v>0.18131944444444445</v>
      </c>
      <c r="E352">
        <v>21.43</v>
      </c>
      <c r="F352">
        <v>4.92</v>
      </c>
    </row>
    <row r="353" spans="1:6" x14ac:dyDescent="0.25">
      <c r="A353" t="s">
        <v>1148</v>
      </c>
      <c r="B353" s="1">
        <v>0.30625000000000002</v>
      </c>
      <c r="C353" s="1">
        <v>0.61388888888888893</v>
      </c>
      <c r="D353" s="2">
        <v>0.30781249999999999</v>
      </c>
      <c r="E353">
        <v>21.42</v>
      </c>
      <c r="F353">
        <v>2.9</v>
      </c>
    </row>
    <row r="354" spans="1:6" x14ac:dyDescent="0.25">
      <c r="A354" t="s">
        <v>983</v>
      </c>
      <c r="B354" s="1">
        <v>0.3034722222222222</v>
      </c>
      <c r="C354" s="1">
        <v>0.49791666666666667</v>
      </c>
      <c r="D354" s="2">
        <v>0.19399305555555554</v>
      </c>
      <c r="E354">
        <v>21.35</v>
      </c>
      <c r="F354">
        <v>4.58</v>
      </c>
    </row>
    <row r="355" spans="1:6" x14ac:dyDescent="0.25">
      <c r="A355" t="s">
        <v>1005</v>
      </c>
      <c r="B355" s="1">
        <v>0.29097222222222224</v>
      </c>
      <c r="C355" s="1">
        <v>0.52222222222222225</v>
      </c>
      <c r="D355" s="2">
        <v>0.23181712962962964</v>
      </c>
      <c r="E355">
        <v>21.28</v>
      </c>
      <c r="F355">
        <v>3.82</v>
      </c>
    </row>
    <row r="356" spans="1:6" x14ac:dyDescent="0.25">
      <c r="A356" t="s">
        <v>1243</v>
      </c>
      <c r="B356" s="1">
        <v>0.27986111111111112</v>
      </c>
      <c r="C356" s="1">
        <v>0.49513888888888891</v>
      </c>
      <c r="D356" s="2">
        <v>0.21504629629629629</v>
      </c>
      <c r="E356">
        <v>21.25</v>
      </c>
      <c r="F356">
        <v>4.12</v>
      </c>
    </row>
    <row r="357" spans="1:6" x14ac:dyDescent="0.25">
      <c r="A357" t="s">
        <v>60</v>
      </c>
      <c r="B357" s="1">
        <v>0.23680555555555555</v>
      </c>
      <c r="C357" s="1">
        <v>0.48125000000000001</v>
      </c>
      <c r="D357" s="2">
        <v>0.24432870370370371</v>
      </c>
      <c r="E357">
        <v>21.24</v>
      </c>
      <c r="F357">
        <v>3.62</v>
      </c>
    </row>
    <row r="358" spans="1:6" x14ac:dyDescent="0.25">
      <c r="A358" t="s">
        <v>1004</v>
      </c>
      <c r="B358" s="1">
        <v>0.27638888888888891</v>
      </c>
      <c r="C358" s="1">
        <v>0.47222222222222221</v>
      </c>
      <c r="D358" s="2">
        <v>0.19542824074074075</v>
      </c>
      <c r="E358">
        <v>21.22</v>
      </c>
      <c r="F358">
        <v>4.53</v>
      </c>
    </row>
    <row r="359" spans="1:6" x14ac:dyDescent="0.25">
      <c r="A359" t="s">
        <v>963</v>
      </c>
      <c r="B359" s="1">
        <v>0.26111111111111113</v>
      </c>
      <c r="C359" s="1">
        <v>0.56597222222222221</v>
      </c>
      <c r="D359" s="2">
        <v>0.30509259259259258</v>
      </c>
      <c r="E359">
        <v>21.2</v>
      </c>
      <c r="F359">
        <v>2.89</v>
      </c>
    </row>
    <row r="360" spans="1:6" x14ac:dyDescent="0.25">
      <c r="A360" t="s">
        <v>885</v>
      </c>
      <c r="B360" s="1">
        <v>0.30555555555555558</v>
      </c>
      <c r="C360" s="1">
        <v>0.46666666666666667</v>
      </c>
      <c r="D360" s="2">
        <v>0.16078703703703703</v>
      </c>
      <c r="E360">
        <v>21.17</v>
      </c>
      <c r="F360">
        <v>5.49</v>
      </c>
    </row>
    <row r="361" spans="1:6" x14ac:dyDescent="0.25">
      <c r="A361" t="s">
        <v>966</v>
      </c>
      <c r="B361" s="1">
        <v>0.26250000000000001</v>
      </c>
      <c r="C361" s="1">
        <v>0.53749999999999998</v>
      </c>
      <c r="D361" s="2">
        <v>0.27498842592592593</v>
      </c>
      <c r="E361">
        <v>21.16</v>
      </c>
      <c r="F361">
        <v>3.21</v>
      </c>
    </row>
    <row r="362" spans="1:6" x14ac:dyDescent="0.25">
      <c r="A362" t="s">
        <v>83</v>
      </c>
      <c r="B362" s="1">
        <v>0.29444444444444445</v>
      </c>
      <c r="C362" s="1">
        <v>0.57013888888888886</v>
      </c>
      <c r="D362" s="2">
        <v>0.2761689814814815</v>
      </c>
      <c r="E362">
        <v>21.08</v>
      </c>
      <c r="F362">
        <v>3.18</v>
      </c>
    </row>
    <row r="363" spans="1:6" x14ac:dyDescent="0.25">
      <c r="A363" t="s">
        <v>982</v>
      </c>
      <c r="B363" s="1">
        <v>0.30555555555555558</v>
      </c>
      <c r="C363" s="1">
        <v>0.50069444444444444</v>
      </c>
      <c r="D363" s="2">
        <v>0.1948148148148148</v>
      </c>
      <c r="E363">
        <v>21.05</v>
      </c>
      <c r="F363">
        <v>4.5</v>
      </c>
    </row>
    <row r="364" spans="1:6" x14ac:dyDescent="0.25">
      <c r="A364" t="s">
        <v>1001</v>
      </c>
      <c r="B364" s="1">
        <v>0.28749999999999998</v>
      </c>
      <c r="C364" s="1">
        <v>0.66041666666666665</v>
      </c>
      <c r="D364" s="2">
        <v>0.37265046296296295</v>
      </c>
      <c r="E364">
        <v>20.96</v>
      </c>
      <c r="F364">
        <v>2.34</v>
      </c>
    </row>
    <row r="365" spans="1:6" x14ac:dyDescent="0.25">
      <c r="A365" t="s">
        <v>967</v>
      </c>
      <c r="B365" s="1">
        <v>0.30833333333333335</v>
      </c>
      <c r="C365" s="1">
        <v>0.65694444444444444</v>
      </c>
      <c r="D365" s="2">
        <v>0.34869212962962964</v>
      </c>
      <c r="E365">
        <v>20.92</v>
      </c>
      <c r="F365">
        <v>2.5</v>
      </c>
    </row>
    <row r="366" spans="1:6" x14ac:dyDescent="0.25">
      <c r="A366" t="s">
        <v>858</v>
      </c>
      <c r="B366" s="1">
        <v>0.29097222222222224</v>
      </c>
      <c r="C366" s="1">
        <v>0.64236111111111116</v>
      </c>
      <c r="D366" s="2">
        <v>0.35121527777777778</v>
      </c>
      <c r="E366">
        <v>20.9</v>
      </c>
      <c r="F366">
        <v>2.48</v>
      </c>
    </row>
    <row r="367" spans="1:6" x14ac:dyDescent="0.25">
      <c r="A367" t="s">
        <v>1150</v>
      </c>
      <c r="B367" s="1">
        <v>0.29722222222222222</v>
      </c>
      <c r="C367" s="1">
        <v>0.50902777777777775</v>
      </c>
      <c r="D367" s="2">
        <v>0.2122337962962963</v>
      </c>
      <c r="E367">
        <v>20.85</v>
      </c>
      <c r="F367">
        <v>4.09</v>
      </c>
    </row>
    <row r="368" spans="1:6" x14ac:dyDescent="0.25">
      <c r="A368" t="s">
        <v>906</v>
      </c>
      <c r="B368" s="1">
        <v>0.28958333333333336</v>
      </c>
      <c r="C368" s="1">
        <v>0.52152777777777781</v>
      </c>
      <c r="D368" s="2">
        <v>0.23234953703703703</v>
      </c>
      <c r="E368">
        <v>20.81</v>
      </c>
      <c r="F368">
        <v>3.73</v>
      </c>
    </row>
    <row r="369" spans="1:6" x14ac:dyDescent="0.25">
      <c r="A369" t="s">
        <v>884</v>
      </c>
      <c r="B369" s="1">
        <v>0.37569444444444444</v>
      </c>
      <c r="C369" s="1">
        <v>0.65486111111111112</v>
      </c>
      <c r="D369" s="2">
        <v>0.27922453703703703</v>
      </c>
      <c r="E369">
        <v>20.61</v>
      </c>
      <c r="F369">
        <v>3.08</v>
      </c>
    </row>
    <row r="370" spans="1:6" x14ac:dyDescent="0.25">
      <c r="A370" t="s">
        <v>990</v>
      </c>
      <c r="B370" s="1">
        <v>0.27083333333333331</v>
      </c>
      <c r="C370" s="1">
        <v>0.56944444444444442</v>
      </c>
      <c r="D370" s="2">
        <v>0.29863425925925924</v>
      </c>
      <c r="E370">
        <v>20.56</v>
      </c>
      <c r="F370">
        <v>2.87</v>
      </c>
    </row>
    <row r="371" spans="1:6" x14ac:dyDescent="0.25">
      <c r="A371" t="s">
        <v>912</v>
      </c>
      <c r="B371" s="1">
        <v>0.2902777777777778</v>
      </c>
      <c r="C371" s="1">
        <v>0.60555555555555551</v>
      </c>
      <c r="D371" s="2">
        <v>0.31535879629629632</v>
      </c>
      <c r="E371">
        <v>20.56</v>
      </c>
      <c r="F371">
        <v>2.72</v>
      </c>
    </row>
    <row r="372" spans="1:6" x14ac:dyDescent="0.25">
      <c r="A372" t="s">
        <v>910</v>
      </c>
      <c r="B372" s="1">
        <v>0.2986111111111111</v>
      </c>
      <c r="C372" s="1">
        <v>0.50694444444444442</v>
      </c>
      <c r="D372" s="2">
        <v>0.20813657407407407</v>
      </c>
      <c r="E372">
        <v>20.45</v>
      </c>
      <c r="F372">
        <v>4.09</v>
      </c>
    </row>
    <row r="373" spans="1:6" x14ac:dyDescent="0.25">
      <c r="A373" t="s">
        <v>870</v>
      </c>
      <c r="B373" s="1">
        <v>0.30486111111111114</v>
      </c>
      <c r="C373" s="1">
        <v>0.5805555555555556</v>
      </c>
      <c r="D373" s="2">
        <v>0.27567129629629628</v>
      </c>
      <c r="E373">
        <v>20.3</v>
      </c>
      <c r="F373">
        <v>3.07</v>
      </c>
    </row>
    <row r="374" spans="1:6" x14ac:dyDescent="0.25">
      <c r="A374" t="s">
        <v>1032</v>
      </c>
      <c r="B374" s="1">
        <v>0.27708333333333335</v>
      </c>
      <c r="C374" s="1">
        <v>0.4597222222222222</v>
      </c>
      <c r="D374" s="2">
        <v>0.18238425925925925</v>
      </c>
      <c r="E374">
        <v>20.29</v>
      </c>
      <c r="F374">
        <v>4.6399999999999997</v>
      </c>
    </row>
    <row r="375" spans="1:6" x14ac:dyDescent="0.25">
      <c r="A375" t="s">
        <v>984</v>
      </c>
      <c r="B375" s="1">
        <v>0.29722222222222222</v>
      </c>
      <c r="C375" s="1">
        <v>0.50069444444444444</v>
      </c>
      <c r="D375" s="2">
        <v>0.20358796296296297</v>
      </c>
      <c r="E375">
        <v>20.28</v>
      </c>
      <c r="F375">
        <v>4.1500000000000004</v>
      </c>
    </row>
    <row r="376" spans="1:6" x14ac:dyDescent="0.25">
      <c r="A376" t="s">
        <v>1077</v>
      </c>
      <c r="B376" s="1">
        <v>0.27013888888888887</v>
      </c>
      <c r="C376" s="1">
        <v>0.47569444444444442</v>
      </c>
      <c r="D376" s="2">
        <v>0.20546296296296296</v>
      </c>
      <c r="E376">
        <v>20.260000000000002</v>
      </c>
      <c r="F376">
        <v>4.1100000000000003</v>
      </c>
    </row>
    <row r="377" spans="1:6" x14ac:dyDescent="0.25">
      <c r="A377" t="s">
        <v>117</v>
      </c>
      <c r="B377" s="1">
        <v>0.29722222222222222</v>
      </c>
      <c r="C377" s="1">
        <v>0.46250000000000002</v>
      </c>
      <c r="D377" s="2">
        <v>0.16524305555555555</v>
      </c>
      <c r="E377">
        <v>20.11</v>
      </c>
      <c r="F377">
        <v>5.07</v>
      </c>
    </row>
    <row r="378" spans="1:6" x14ac:dyDescent="0.25">
      <c r="A378" t="s">
        <v>985</v>
      </c>
      <c r="B378" s="1">
        <v>0.29930555555555555</v>
      </c>
      <c r="C378" s="1">
        <v>0.49166666666666664</v>
      </c>
      <c r="D378" s="2">
        <v>0.19262731481481482</v>
      </c>
      <c r="E378">
        <v>20.100000000000001</v>
      </c>
      <c r="F378">
        <v>4.3499999999999996</v>
      </c>
    </row>
    <row r="379" spans="1:6" x14ac:dyDescent="0.25">
      <c r="A379" t="s">
        <v>78</v>
      </c>
      <c r="B379" s="1">
        <v>0.30555555555555558</v>
      </c>
      <c r="C379" s="1">
        <v>0.65972222222222221</v>
      </c>
      <c r="D379" s="2">
        <v>0.35439814814814813</v>
      </c>
      <c r="E379">
        <v>20.100000000000001</v>
      </c>
      <c r="F379">
        <v>2.36</v>
      </c>
    </row>
    <row r="380" spans="1:6" x14ac:dyDescent="0.25">
      <c r="A380" t="s">
        <v>1014</v>
      </c>
      <c r="B380" s="1">
        <v>0.28749999999999998</v>
      </c>
      <c r="C380" s="1">
        <v>0.61944444444444446</v>
      </c>
      <c r="D380" s="2">
        <v>0.33240740740740743</v>
      </c>
      <c r="E380">
        <v>20.03</v>
      </c>
      <c r="F380">
        <v>2.5099999999999998</v>
      </c>
    </row>
    <row r="381" spans="1:6" x14ac:dyDescent="0.25">
      <c r="A381" t="s">
        <v>755</v>
      </c>
      <c r="B381" s="1">
        <v>0.25</v>
      </c>
      <c r="C381" s="1">
        <v>0.51041666666666663</v>
      </c>
      <c r="D381" s="2">
        <v>0.26070601851851855</v>
      </c>
      <c r="E381">
        <v>19.89</v>
      </c>
      <c r="F381">
        <v>3.18</v>
      </c>
    </row>
    <row r="382" spans="1:6" x14ac:dyDescent="0.25">
      <c r="A382" t="s">
        <v>776</v>
      </c>
      <c r="B382" s="1">
        <v>0.42986111111111114</v>
      </c>
      <c r="C382" s="1">
        <v>0.66041666666666665</v>
      </c>
      <c r="D382" s="2">
        <v>0.2305787037037037</v>
      </c>
      <c r="E382">
        <v>19.87</v>
      </c>
      <c r="F382">
        <v>3.59</v>
      </c>
    </row>
    <row r="383" spans="1:6" x14ac:dyDescent="0.25">
      <c r="A383" t="s">
        <v>968</v>
      </c>
      <c r="B383" s="1">
        <v>6.9444444444444447E-4</v>
      </c>
      <c r="C383" s="1">
        <v>0.66041666666666665</v>
      </c>
      <c r="D383" s="2">
        <v>0.6595833333333333</v>
      </c>
      <c r="E383">
        <v>19.87</v>
      </c>
      <c r="F383">
        <v>1.26</v>
      </c>
    </row>
    <row r="384" spans="1:6" x14ac:dyDescent="0.25">
      <c r="A384" t="s">
        <v>1050</v>
      </c>
      <c r="B384" s="1">
        <v>0.35416666666666669</v>
      </c>
      <c r="C384" s="1">
        <v>0.54861111111111116</v>
      </c>
      <c r="D384" s="2">
        <v>0.19420138888888888</v>
      </c>
      <c r="E384">
        <v>19.850000000000001</v>
      </c>
      <c r="F384">
        <v>4.26</v>
      </c>
    </row>
    <row r="385" spans="1:6" x14ac:dyDescent="0.25">
      <c r="A385" t="s">
        <v>1147</v>
      </c>
      <c r="B385" s="1">
        <v>0.27847222222222223</v>
      </c>
      <c r="C385" s="1">
        <v>0.65694444444444444</v>
      </c>
      <c r="D385" s="2">
        <v>0.37819444444444444</v>
      </c>
      <c r="E385">
        <v>19.79</v>
      </c>
      <c r="F385">
        <v>2.1800000000000002</v>
      </c>
    </row>
    <row r="386" spans="1:6" x14ac:dyDescent="0.25">
      <c r="A386" t="s">
        <v>85</v>
      </c>
      <c r="B386" s="1">
        <v>0.2902777777777778</v>
      </c>
      <c r="C386" s="1">
        <v>0.48958333333333331</v>
      </c>
      <c r="D386" s="2">
        <v>0.19909722222222223</v>
      </c>
      <c r="E386">
        <v>19.75</v>
      </c>
      <c r="F386">
        <v>4.13</v>
      </c>
    </row>
    <row r="387" spans="1:6" x14ac:dyDescent="0.25">
      <c r="A387" t="s">
        <v>1030</v>
      </c>
      <c r="B387" s="1">
        <v>0.25347222222222221</v>
      </c>
      <c r="C387" s="1">
        <v>0.42152777777777778</v>
      </c>
      <c r="D387" s="2">
        <v>0.16755787037037037</v>
      </c>
      <c r="E387">
        <v>19.72</v>
      </c>
      <c r="F387">
        <v>4.9000000000000004</v>
      </c>
    </row>
    <row r="388" spans="1:6" x14ac:dyDescent="0.25">
      <c r="A388" t="s">
        <v>933</v>
      </c>
      <c r="B388" s="1">
        <v>0.31736111111111109</v>
      </c>
      <c r="C388" s="1">
        <v>0.48958333333333331</v>
      </c>
      <c r="D388" s="2">
        <v>0.17185185185185184</v>
      </c>
      <c r="E388">
        <v>19.579999999999998</v>
      </c>
      <c r="F388">
        <v>4.75</v>
      </c>
    </row>
    <row r="389" spans="1:6" x14ac:dyDescent="0.25">
      <c r="A389" t="s">
        <v>110</v>
      </c>
      <c r="B389" s="1">
        <v>0.26111111111111113</v>
      </c>
      <c r="C389" s="1">
        <v>0.50555555555555554</v>
      </c>
      <c r="D389" s="2">
        <v>0.24444444444444444</v>
      </c>
      <c r="E389">
        <v>19.260000000000002</v>
      </c>
      <c r="F389">
        <v>3.28</v>
      </c>
    </row>
    <row r="390" spans="1:6" x14ac:dyDescent="0.25">
      <c r="A390" t="s">
        <v>978</v>
      </c>
      <c r="B390" s="1">
        <v>0.2326388888888889</v>
      </c>
      <c r="C390" s="1">
        <v>0.62361111111111112</v>
      </c>
      <c r="D390" s="2">
        <v>0.39097222222222222</v>
      </c>
      <c r="E390">
        <v>19.22</v>
      </c>
      <c r="F390">
        <v>2.0499999999999998</v>
      </c>
    </row>
    <row r="391" spans="1:6" x14ac:dyDescent="0.25">
      <c r="A391" t="s">
        <v>915</v>
      </c>
      <c r="B391" s="1">
        <v>0.28958333333333336</v>
      </c>
      <c r="C391" s="1">
        <v>0.64652777777777781</v>
      </c>
      <c r="D391" s="2">
        <v>0.35638888888888887</v>
      </c>
      <c r="E391">
        <v>19.04</v>
      </c>
      <c r="F391">
        <v>2.23</v>
      </c>
    </row>
    <row r="392" spans="1:6" x14ac:dyDescent="0.25">
      <c r="A392" t="s">
        <v>1110</v>
      </c>
      <c r="B392" s="1">
        <v>9.6527777777777782E-2</v>
      </c>
      <c r="C392" s="1">
        <v>0.42499999999999999</v>
      </c>
      <c r="D392" s="2">
        <v>0.32841435185185186</v>
      </c>
      <c r="E392">
        <v>19.02</v>
      </c>
      <c r="F392">
        <v>2.41</v>
      </c>
    </row>
    <row r="393" spans="1:6" x14ac:dyDescent="0.25">
      <c r="A393" t="s">
        <v>1089</v>
      </c>
      <c r="B393" s="1">
        <v>0.25</v>
      </c>
      <c r="C393" s="1">
        <v>0.45902777777777776</v>
      </c>
      <c r="D393" s="2">
        <v>0.20862268518518517</v>
      </c>
      <c r="E393">
        <v>18.86</v>
      </c>
      <c r="F393">
        <v>3.77</v>
      </c>
    </row>
    <row r="394" spans="1:6" x14ac:dyDescent="0.25">
      <c r="A394" t="s">
        <v>882</v>
      </c>
      <c r="B394" s="1">
        <v>0.29583333333333334</v>
      </c>
      <c r="C394" s="1">
        <v>0.44791666666666669</v>
      </c>
      <c r="D394" s="2">
        <v>0.15200231481481483</v>
      </c>
      <c r="E394">
        <v>18.84</v>
      </c>
      <c r="F394">
        <v>5.16</v>
      </c>
    </row>
    <row r="395" spans="1:6" x14ac:dyDescent="0.25">
      <c r="A395" t="s">
        <v>1049</v>
      </c>
      <c r="B395" s="1">
        <v>0.30277777777777776</v>
      </c>
      <c r="C395" s="1">
        <v>0.56527777777777777</v>
      </c>
      <c r="D395" s="2">
        <v>0.26269675925925928</v>
      </c>
      <c r="E395">
        <v>18.829999999999998</v>
      </c>
      <c r="F395">
        <v>2.99</v>
      </c>
    </row>
    <row r="396" spans="1:6" x14ac:dyDescent="0.25">
      <c r="A396" t="s">
        <v>1070</v>
      </c>
      <c r="B396" s="1">
        <v>0.29236111111111113</v>
      </c>
      <c r="C396" s="1">
        <v>0.4548611111111111</v>
      </c>
      <c r="D396" s="2">
        <v>0.16278935185185187</v>
      </c>
      <c r="E396">
        <v>18.82</v>
      </c>
      <c r="F396">
        <v>4.82</v>
      </c>
    </row>
    <row r="397" spans="1:6" x14ac:dyDescent="0.25">
      <c r="A397" t="s">
        <v>25</v>
      </c>
      <c r="B397" s="1">
        <v>0.28472222222222221</v>
      </c>
      <c r="C397" s="1">
        <v>0.42916666666666664</v>
      </c>
      <c r="D397" s="2">
        <v>0.14403935185185185</v>
      </c>
      <c r="E397">
        <v>18.75</v>
      </c>
      <c r="F397">
        <v>5.42</v>
      </c>
    </row>
    <row r="398" spans="1:6" x14ac:dyDescent="0.25">
      <c r="A398" t="s">
        <v>1074</v>
      </c>
      <c r="B398" s="1">
        <v>0.2673611111111111</v>
      </c>
      <c r="C398" s="1">
        <v>0.51180555555555551</v>
      </c>
      <c r="D398" s="2">
        <v>0.24484953703703705</v>
      </c>
      <c r="E398">
        <v>18.71</v>
      </c>
      <c r="F398">
        <v>3.18</v>
      </c>
    </row>
    <row r="399" spans="1:6" x14ac:dyDescent="0.25">
      <c r="A399" t="s">
        <v>857</v>
      </c>
      <c r="B399" s="1">
        <v>0.28888888888888886</v>
      </c>
      <c r="C399" s="1">
        <v>0.49236111111111114</v>
      </c>
      <c r="D399" s="2">
        <v>0.2038425925925926</v>
      </c>
      <c r="E399">
        <v>18.66</v>
      </c>
      <c r="F399">
        <v>3.82</v>
      </c>
    </row>
    <row r="400" spans="1:6" x14ac:dyDescent="0.25">
      <c r="A400" t="s">
        <v>96</v>
      </c>
      <c r="B400" s="1">
        <v>0.28472222222222221</v>
      </c>
      <c r="C400" s="1">
        <v>0.46875</v>
      </c>
      <c r="D400" s="2">
        <v>0.18460648148148148</v>
      </c>
      <c r="E400">
        <v>18.649999999999999</v>
      </c>
      <c r="F400">
        <v>4.21</v>
      </c>
    </row>
    <row r="401" spans="1:6" x14ac:dyDescent="0.25">
      <c r="A401" t="s">
        <v>980</v>
      </c>
      <c r="B401" s="1">
        <v>0.32013888888888886</v>
      </c>
      <c r="C401" s="1">
        <v>0.65277777777777779</v>
      </c>
      <c r="D401" s="2">
        <v>0.33277777777777778</v>
      </c>
      <c r="E401">
        <v>18.62</v>
      </c>
      <c r="F401">
        <v>2.33</v>
      </c>
    </row>
    <row r="402" spans="1:6" x14ac:dyDescent="0.25">
      <c r="A402" t="s">
        <v>878</v>
      </c>
      <c r="B402" s="1">
        <v>0.2986111111111111</v>
      </c>
      <c r="C402" s="1">
        <v>0.45555555555555555</v>
      </c>
      <c r="D402" s="2">
        <v>0.1575</v>
      </c>
      <c r="E402">
        <v>18.54</v>
      </c>
      <c r="F402">
        <v>4.9000000000000004</v>
      </c>
    </row>
    <row r="403" spans="1:6" x14ac:dyDescent="0.25">
      <c r="A403" t="s">
        <v>786</v>
      </c>
      <c r="B403" s="1">
        <v>0.31527777777777777</v>
      </c>
      <c r="C403" s="1">
        <v>0.48680555555555555</v>
      </c>
      <c r="D403" s="2">
        <v>0.17200231481481482</v>
      </c>
      <c r="E403">
        <v>18.45</v>
      </c>
      <c r="F403">
        <v>4.47</v>
      </c>
    </row>
    <row r="404" spans="1:6" x14ac:dyDescent="0.25">
      <c r="A404" t="s">
        <v>1100</v>
      </c>
      <c r="B404" s="1">
        <v>0.32083333333333336</v>
      </c>
      <c r="C404" s="1">
        <v>0.54513888888888884</v>
      </c>
      <c r="D404" s="2">
        <v>0.22400462962962964</v>
      </c>
      <c r="E404">
        <v>18.28</v>
      </c>
      <c r="F404">
        <v>3.4</v>
      </c>
    </row>
    <row r="405" spans="1:6" x14ac:dyDescent="0.25">
      <c r="A405" t="s">
        <v>924</v>
      </c>
      <c r="B405" s="1">
        <v>0.27708333333333335</v>
      </c>
      <c r="C405" s="1">
        <v>0.50416666666666665</v>
      </c>
      <c r="D405" s="2">
        <v>0.22677083333333334</v>
      </c>
      <c r="E405">
        <v>18.27</v>
      </c>
      <c r="F405">
        <v>3.36</v>
      </c>
    </row>
    <row r="406" spans="1:6" x14ac:dyDescent="0.25">
      <c r="A406" t="s">
        <v>886</v>
      </c>
      <c r="B406" s="1">
        <v>0.24722222222222223</v>
      </c>
      <c r="C406" s="1">
        <v>0.45347222222222222</v>
      </c>
      <c r="D406" s="2">
        <v>0.20658564814814814</v>
      </c>
      <c r="E406">
        <v>18.260000000000002</v>
      </c>
      <c r="F406">
        <v>3.68</v>
      </c>
    </row>
    <row r="407" spans="1:6" x14ac:dyDescent="0.25">
      <c r="A407" t="s">
        <v>69</v>
      </c>
      <c r="B407" s="1">
        <v>0.11388888888888889</v>
      </c>
      <c r="C407" s="1">
        <v>0.45277777777777778</v>
      </c>
      <c r="D407" s="2">
        <v>0.33862268518518518</v>
      </c>
      <c r="E407">
        <v>18.12</v>
      </c>
      <c r="F407">
        <v>2.23</v>
      </c>
    </row>
    <row r="408" spans="1:6" x14ac:dyDescent="0.25">
      <c r="A408" t="s">
        <v>962</v>
      </c>
      <c r="B408" s="1">
        <v>0.25416666666666665</v>
      </c>
      <c r="C408" s="1">
        <v>0.4513888888888889</v>
      </c>
      <c r="D408" s="2">
        <v>0.19715277777777779</v>
      </c>
      <c r="E408">
        <v>18.03</v>
      </c>
      <c r="F408">
        <v>3.81</v>
      </c>
    </row>
    <row r="409" spans="1:6" x14ac:dyDescent="0.25">
      <c r="A409" t="s">
        <v>769</v>
      </c>
      <c r="B409" s="1">
        <v>0.33055555555555555</v>
      </c>
      <c r="C409" s="1">
        <v>0.63194444444444442</v>
      </c>
      <c r="D409" s="2">
        <v>0.30096064814814816</v>
      </c>
      <c r="E409">
        <v>18.03</v>
      </c>
      <c r="F409">
        <v>2.5</v>
      </c>
    </row>
    <row r="410" spans="1:6" x14ac:dyDescent="0.25">
      <c r="A410" t="s">
        <v>1202</v>
      </c>
      <c r="B410" s="1">
        <v>0.30138888888888887</v>
      </c>
      <c r="C410" s="1">
        <v>0.4861111111111111</v>
      </c>
      <c r="D410" s="2">
        <v>0.18487268518518518</v>
      </c>
      <c r="E410">
        <v>17.7</v>
      </c>
      <c r="F410">
        <v>3.99</v>
      </c>
    </row>
    <row r="411" spans="1:6" x14ac:dyDescent="0.25">
      <c r="A411" t="s">
        <v>900</v>
      </c>
      <c r="B411" s="1">
        <v>0.26874999999999999</v>
      </c>
      <c r="C411" s="1">
        <v>0.39583333333333331</v>
      </c>
      <c r="D411" s="2">
        <v>0.12653935185185186</v>
      </c>
      <c r="E411">
        <v>17.649999999999999</v>
      </c>
      <c r="F411">
        <v>5.81</v>
      </c>
    </row>
    <row r="412" spans="1:6" x14ac:dyDescent="0.25">
      <c r="A412" t="s">
        <v>972</v>
      </c>
      <c r="B412" s="1">
        <v>0.3347222222222222</v>
      </c>
      <c r="C412" s="1">
        <v>0.65625</v>
      </c>
      <c r="D412" s="2">
        <v>0.32170138888888888</v>
      </c>
      <c r="E412">
        <v>17.55</v>
      </c>
      <c r="F412">
        <v>2.27</v>
      </c>
    </row>
    <row r="413" spans="1:6" x14ac:dyDescent="0.25">
      <c r="A413" t="s">
        <v>849</v>
      </c>
      <c r="B413" s="1">
        <v>0.31736111111111109</v>
      </c>
      <c r="C413" s="1">
        <v>0.49722222222222223</v>
      </c>
      <c r="D413" s="2">
        <v>0.18013888888888888</v>
      </c>
      <c r="E413">
        <v>17.54</v>
      </c>
      <c r="F413">
        <v>4.0599999999999996</v>
      </c>
    </row>
    <row r="414" spans="1:6" x14ac:dyDescent="0.25">
      <c r="A414" t="s">
        <v>916</v>
      </c>
      <c r="B414" s="1">
        <v>5.5555555555555558E-3</v>
      </c>
      <c r="C414" s="1">
        <v>0.49722222222222223</v>
      </c>
      <c r="D414" s="2">
        <v>0.49156250000000001</v>
      </c>
      <c r="E414">
        <v>17.510000000000002</v>
      </c>
      <c r="F414">
        <v>1.48</v>
      </c>
    </row>
    <row r="415" spans="1:6" x14ac:dyDescent="0.25">
      <c r="A415" t="s">
        <v>100</v>
      </c>
      <c r="B415" s="1">
        <v>0.29791666666666666</v>
      </c>
      <c r="C415" s="1">
        <v>0.45624999999999999</v>
      </c>
      <c r="D415" s="2">
        <v>0.15887731481481482</v>
      </c>
      <c r="E415">
        <v>17.48</v>
      </c>
      <c r="F415">
        <v>4.58</v>
      </c>
    </row>
    <row r="416" spans="1:6" x14ac:dyDescent="0.25">
      <c r="A416" t="s">
        <v>1172</v>
      </c>
      <c r="B416" s="1">
        <v>0.32777777777777778</v>
      </c>
      <c r="C416" s="1">
        <v>0.65416666666666667</v>
      </c>
      <c r="D416" s="2">
        <v>0.32679398148148148</v>
      </c>
      <c r="E416">
        <v>17.47</v>
      </c>
      <c r="F416">
        <v>2.23</v>
      </c>
    </row>
    <row r="417" spans="1:6" x14ac:dyDescent="0.25">
      <c r="A417" t="s">
        <v>76</v>
      </c>
      <c r="B417" s="1">
        <v>0.2902777777777778</v>
      </c>
      <c r="C417" s="1">
        <v>0.49305555555555558</v>
      </c>
      <c r="D417" s="2">
        <v>0.20256944444444444</v>
      </c>
      <c r="E417">
        <v>17.440000000000001</v>
      </c>
      <c r="F417">
        <v>3.59</v>
      </c>
    </row>
    <row r="418" spans="1:6" x14ac:dyDescent="0.25">
      <c r="A418" t="s">
        <v>868</v>
      </c>
      <c r="B418" s="1">
        <v>0.32916666666666666</v>
      </c>
      <c r="C418" s="1">
        <v>0.51249999999999996</v>
      </c>
      <c r="D418" s="2">
        <v>0.18325231481481483</v>
      </c>
      <c r="E418">
        <v>17.43</v>
      </c>
      <c r="F418">
        <v>3.96</v>
      </c>
    </row>
    <row r="419" spans="1:6" x14ac:dyDescent="0.25">
      <c r="A419" t="s">
        <v>803</v>
      </c>
      <c r="B419" s="1">
        <v>0.27986111111111112</v>
      </c>
      <c r="C419" s="1">
        <v>0.51180555555555551</v>
      </c>
      <c r="D419" s="2">
        <v>0.23193287037037036</v>
      </c>
      <c r="E419">
        <v>17.350000000000001</v>
      </c>
      <c r="F419">
        <v>3.12</v>
      </c>
    </row>
    <row r="420" spans="1:6" x14ac:dyDescent="0.25">
      <c r="A420" t="s">
        <v>992</v>
      </c>
      <c r="B420" s="1">
        <v>0.28263888888888888</v>
      </c>
      <c r="C420" s="1">
        <v>0.55902777777777779</v>
      </c>
      <c r="D420" s="2">
        <v>0.27677083333333335</v>
      </c>
      <c r="E420">
        <v>17.32</v>
      </c>
      <c r="F420">
        <v>2.61</v>
      </c>
    </row>
    <row r="421" spans="1:6" x14ac:dyDescent="0.25">
      <c r="A421" t="s">
        <v>993</v>
      </c>
      <c r="B421" s="1">
        <v>0.29722222222222222</v>
      </c>
      <c r="C421" s="1">
        <v>0.55763888888888891</v>
      </c>
      <c r="D421" s="2">
        <v>0.26057870370370373</v>
      </c>
      <c r="E421">
        <v>17.23</v>
      </c>
      <c r="F421">
        <v>2.76</v>
      </c>
    </row>
    <row r="422" spans="1:6" x14ac:dyDescent="0.25">
      <c r="A422" t="s">
        <v>991</v>
      </c>
      <c r="B422" s="1">
        <v>0.28263888888888888</v>
      </c>
      <c r="C422" s="1">
        <v>0.47847222222222224</v>
      </c>
      <c r="D422" s="2">
        <v>0.19592592592592592</v>
      </c>
      <c r="E422">
        <v>17.149999999999999</v>
      </c>
      <c r="F422">
        <v>3.65</v>
      </c>
    </row>
    <row r="423" spans="1:6" x14ac:dyDescent="0.25">
      <c r="A423" t="s">
        <v>940</v>
      </c>
      <c r="B423" s="1">
        <v>0.28055555555555556</v>
      </c>
      <c r="C423" s="1">
        <v>0.47916666666666669</v>
      </c>
      <c r="D423" s="2">
        <v>0.19864583333333333</v>
      </c>
      <c r="E423">
        <v>17.04</v>
      </c>
      <c r="F423">
        <v>3.58</v>
      </c>
    </row>
    <row r="424" spans="1:6" x14ac:dyDescent="0.25">
      <c r="A424" t="s">
        <v>923</v>
      </c>
      <c r="B424" s="1">
        <v>0.28819444444444442</v>
      </c>
      <c r="C424" s="1">
        <v>0.54166666666666663</v>
      </c>
      <c r="D424" s="2">
        <v>0.25347222222222221</v>
      </c>
      <c r="E424">
        <v>16.77</v>
      </c>
      <c r="F424">
        <v>2.76</v>
      </c>
    </row>
    <row r="425" spans="1:6" x14ac:dyDescent="0.25">
      <c r="A425" t="s">
        <v>979</v>
      </c>
      <c r="B425" s="1">
        <v>0.30277777777777776</v>
      </c>
      <c r="C425" s="1">
        <v>0.5444444444444444</v>
      </c>
      <c r="D425" s="2">
        <v>0.24209490740740741</v>
      </c>
      <c r="E425">
        <v>16.72</v>
      </c>
      <c r="F425">
        <v>2.88</v>
      </c>
    </row>
    <row r="426" spans="1:6" x14ac:dyDescent="0.25">
      <c r="A426" t="s">
        <v>932</v>
      </c>
      <c r="B426" s="1">
        <v>0.27916666666666667</v>
      </c>
      <c r="C426" s="1">
        <v>0.49375000000000002</v>
      </c>
      <c r="D426" s="2">
        <v>0.21434027777777778</v>
      </c>
      <c r="E426">
        <v>16.66</v>
      </c>
      <c r="F426">
        <v>3.24</v>
      </c>
    </row>
    <row r="427" spans="1:6" x14ac:dyDescent="0.25">
      <c r="A427" t="s">
        <v>821</v>
      </c>
      <c r="B427" s="1">
        <v>0.3034722222222222</v>
      </c>
      <c r="C427" s="1">
        <v>0.64583333333333337</v>
      </c>
      <c r="D427" s="2">
        <v>0.34238425925925925</v>
      </c>
      <c r="E427">
        <v>16.62</v>
      </c>
      <c r="F427">
        <v>2.02</v>
      </c>
    </row>
    <row r="428" spans="1:6" x14ac:dyDescent="0.25">
      <c r="A428" t="s">
        <v>948</v>
      </c>
      <c r="B428" s="1">
        <v>0.21180555555555555</v>
      </c>
      <c r="C428" s="1">
        <v>0.47430555555555554</v>
      </c>
      <c r="D428" s="2">
        <v>0.26188657407407406</v>
      </c>
      <c r="E428">
        <v>16.510000000000002</v>
      </c>
      <c r="F428">
        <v>2.63</v>
      </c>
    </row>
    <row r="429" spans="1:6" x14ac:dyDescent="0.25">
      <c r="A429" t="s">
        <v>112</v>
      </c>
      <c r="B429" s="1">
        <v>0.26805555555555555</v>
      </c>
      <c r="C429" s="1">
        <v>0.44583333333333336</v>
      </c>
      <c r="D429" s="2">
        <v>0.17756944444444445</v>
      </c>
      <c r="E429">
        <v>16.510000000000002</v>
      </c>
      <c r="F429">
        <v>3.87</v>
      </c>
    </row>
    <row r="430" spans="1:6" x14ac:dyDescent="0.25">
      <c r="A430" t="s">
        <v>864</v>
      </c>
      <c r="B430" s="1">
        <v>0.32222222222222224</v>
      </c>
      <c r="C430" s="1">
        <v>0.54861111111111116</v>
      </c>
      <c r="D430" s="2">
        <v>0.22658564814814816</v>
      </c>
      <c r="E430">
        <v>16.48</v>
      </c>
      <c r="F430">
        <v>3.03</v>
      </c>
    </row>
    <row r="431" spans="1:6" x14ac:dyDescent="0.25">
      <c r="A431" t="s">
        <v>1255</v>
      </c>
      <c r="B431" s="1">
        <v>0.32708333333333334</v>
      </c>
      <c r="C431" s="1">
        <v>0.65486111111111112</v>
      </c>
      <c r="D431" s="2">
        <v>0.32738425925925924</v>
      </c>
      <c r="E431">
        <v>16.47</v>
      </c>
      <c r="F431">
        <v>2.1</v>
      </c>
    </row>
    <row r="432" spans="1:6" x14ac:dyDescent="0.25">
      <c r="A432" t="s">
        <v>891</v>
      </c>
      <c r="B432" s="1">
        <v>0.35138888888888886</v>
      </c>
      <c r="C432" s="1">
        <v>0.52430555555555558</v>
      </c>
      <c r="D432" s="2">
        <v>0.17297453703703702</v>
      </c>
      <c r="E432">
        <v>16.43</v>
      </c>
      <c r="F432">
        <v>3.96</v>
      </c>
    </row>
    <row r="433" spans="1:6" x14ac:dyDescent="0.25">
      <c r="A433" t="s">
        <v>94</v>
      </c>
      <c r="B433" s="1">
        <v>0.25</v>
      </c>
      <c r="C433" s="1">
        <v>0.46458333333333335</v>
      </c>
      <c r="D433" s="2">
        <v>0.21402777777777779</v>
      </c>
      <c r="E433">
        <v>16.32</v>
      </c>
      <c r="F433">
        <v>3.18</v>
      </c>
    </row>
    <row r="434" spans="1:6" x14ac:dyDescent="0.25">
      <c r="A434" t="s">
        <v>938</v>
      </c>
      <c r="B434" s="1">
        <v>0.31041666666666667</v>
      </c>
      <c r="C434" s="1">
        <v>0.65625</v>
      </c>
      <c r="D434" s="2">
        <v>0.34594907407407405</v>
      </c>
      <c r="E434">
        <v>16.27</v>
      </c>
      <c r="F434">
        <v>1.96</v>
      </c>
    </row>
    <row r="435" spans="1:6" x14ac:dyDescent="0.25">
      <c r="A435" t="s">
        <v>883</v>
      </c>
      <c r="B435" s="1">
        <v>0.28749999999999998</v>
      </c>
      <c r="C435" s="1">
        <v>0.61944444444444446</v>
      </c>
      <c r="D435" s="2">
        <v>0.33219907407407406</v>
      </c>
      <c r="E435">
        <v>16.25</v>
      </c>
      <c r="F435">
        <v>2.04</v>
      </c>
    </row>
    <row r="436" spans="1:6" x14ac:dyDescent="0.25">
      <c r="A436" t="s">
        <v>904</v>
      </c>
      <c r="B436" s="1">
        <v>0.31874999999999998</v>
      </c>
      <c r="C436" s="1">
        <v>0.62152777777777779</v>
      </c>
      <c r="D436" s="2">
        <v>0.30282407407407408</v>
      </c>
      <c r="E436">
        <v>16.23</v>
      </c>
      <c r="F436">
        <v>2.23</v>
      </c>
    </row>
    <row r="437" spans="1:6" x14ac:dyDescent="0.25">
      <c r="A437" t="s">
        <v>850</v>
      </c>
      <c r="B437" s="1">
        <v>0.28819444444444442</v>
      </c>
      <c r="C437" s="1">
        <v>0.56805555555555554</v>
      </c>
      <c r="D437" s="2">
        <v>0.27945601851851853</v>
      </c>
      <c r="E437">
        <v>16.2</v>
      </c>
      <c r="F437">
        <v>2.42</v>
      </c>
    </row>
    <row r="438" spans="1:6" x14ac:dyDescent="0.25">
      <c r="A438" t="s">
        <v>996</v>
      </c>
      <c r="B438" s="1">
        <v>0.29305555555555557</v>
      </c>
      <c r="C438" s="1">
        <v>0.45208333333333334</v>
      </c>
      <c r="D438" s="2">
        <v>0.15940972222222222</v>
      </c>
      <c r="E438">
        <v>16.18</v>
      </c>
      <c r="F438">
        <v>4.2300000000000004</v>
      </c>
    </row>
    <row r="439" spans="1:6" x14ac:dyDescent="0.25">
      <c r="A439" t="s">
        <v>107</v>
      </c>
      <c r="B439" s="1">
        <v>0.31111111111111112</v>
      </c>
      <c r="C439" s="1">
        <v>0.64861111111111114</v>
      </c>
      <c r="D439" s="2">
        <v>0.33748842592592593</v>
      </c>
      <c r="E439">
        <v>16.010000000000002</v>
      </c>
      <c r="F439">
        <v>1.98</v>
      </c>
    </row>
    <row r="440" spans="1:6" x14ac:dyDescent="0.25">
      <c r="A440" t="s">
        <v>106</v>
      </c>
      <c r="B440" s="1">
        <v>0.29791666666666666</v>
      </c>
      <c r="C440" s="1">
        <v>0.66041666666666665</v>
      </c>
      <c r="D440" s="2">
        <v>0.36267361111111113</v>
      </c>
      <c r="E440">
        <v>15.96</v>
      </c>
      <c r="F440">
        <v>1.83</v>
      </c>
    </row>
    <row r="441" spans="1:6" x14ac:dyDescent="0.25">
      <c r="A441" t="s">
        <v>920</v>
      </c>
      <c r="B441" s="1">
        <v>0.28055555555555556</v>
      </c>
      <c r="C441" s="1">
        <v>0.49861111111111112</v>
      </c>
      <c r="D441" s="2">
        <v>0.2182523148148148</v>
      </c>
      <c r="E441">
        <v>15.88</v>
      </c>
      <c r="F441">
        <v>3.03</v>
      </c>
    </row>
    <row r="442" spans="1:6" x14ac:dyDescent="0.25">
      <c r="A442" t="s">
        <v>907</v>
      </c>
      <c r="B442" s="1">
        <v>0.31388888888888888</v>
      </c>
      <c r="C442" s="1">
        <v>0.5180555555555556</v>
      </c>
      <c r="D442" s="2">
        <v>0.20467592592592593</v>
      </c>
      <c r="E442">
        <v>15.85</v>
      </c>
      <c r="F442">
        <v>3.23</v>
      </c>
    </row>
    <row r="443" spans="1:6" x14ac:dyDescent="0.25">
      <c r="A443" t="s">
        <v>1008</v>
      </c>
      <c r="B443" s="1">
        <v>0.30763888888888891</v>
      </c>
      <c r="C443" s="1">
        <v>0.48333333333333334</v>
      </c>
      <c r="D443" s="2">
        <v>0.17549768518518519</v>
      </c>
      <c r="E443">
        <v>15.78</v>
      </c>
      <c r="F443">
        <v>3.75</v>
      </c>
    </row>
    <row r="444" spans="1:6" x14ac:dyDescent="0.25">
      <c r="A444" t="s">
        <v>819</v>
      </c>
      <c r="B444" s="1">
        <v>0.32430555555555557</v>
      </c>
      <c r="C444" s="1">
        <v>0.54791666666666672</v>
      </c>
      <c r="D444" s="2">
        <v>0.22344907407407408</v>
      </c>
      <c r="E444">
        <v>15.77</v>
      </c>
      <c r="F444">
        <v>2.94</v>
      </c>
    </row>
    <row r="445" spans="1:6" x14ac:dyDescent="0.25">
      <c r="A445" t="s">
        <v>831</v>
      </c>
      <c r="B445" s="1">
        <v>0.31111111111111112</v>
      </c>
      <c r="C445" s="1">
        <v>0.55763888888888891</v>
      </c>
      <c r="D445" s="2">
        <v>0.24693287037037037</v>
      </c>
      <c r="E445">
        <v>15.76</v>
      </c>
      <c r="F445">
        <v>2.66</v>
      </c>
    </row>
    <row r="446" spans="1:6" x14ac:dyDescent="0.25">
      <c r="A446" t="s">
        <v>789</v>
      </c>
      <c r="B446" s="1">
        <v>0.31597222222222221</v>
      </c>
      <c r="C446" s="1">
        <v>0.48055555555555557</v>
      </c>
      <c r="D446" s="2">
        <v>0.16453703703703704</v>
      </c>
      <c r="E446">
        <v>15.76</v>
      </c>
      <c r="F446">
        <v>3.99</v>
      </c>
    </row>
    <row r="447" spans="1:6" x14ac:dyDescent="0.25">
      <c r="A447" t="s">
        <v>865</v>
      </c>
      <c r="B447" s="1">
        <v>0.30555555555555558</v>
      </c>
      <c r="C447" s="1">
        <v>0.51249999999999996</v>
      </c>
      <c r="D447" s="2">
        <v>0.20645833333333333</v>
      </c>
      <c r="E447">
        <v>15.75</v>
      </c>
      <c r="F447">
        <v>3.18</v>
      </c>
    </row>
    <row r="448" spans="1:6" x14ac:dyDescent="0.25">
      <c r="A448" t="s">
        <v>902</v>
      </c>
      <c r="B448" s="1">
        <v>0.21944444444444444</v>
      </c>
      <c r="C448" s="1">
        <v>0.46944444444444444</v>
      </c>
      <c r="D448" s="2">
        <v>0.25010416666666668</v>
      </c>
      <c r="E448">
        <v>15.73</v>
      </c>
      <c r="F448">
        <v>2.62</v>
      </c>
    </row>
    <row r="449" spans="1:6" x14ac:dyDescent="0.25">
      <c r="A449" t="s">
        <v>848</v>
      </c>
      <c r="B449" s="1">
        <v>0.22777777777777777</v>
      </c>
      <c r="C449" s="1">
        <v>0.55000000000000004</v>
      </c>
      <c r="D449" s="2">
        <v>0.32234953703703706</v>
      </c>
      <c r="E449">
        <v>15.73</v>
      </c>
      <c r="F449">
        <v>2.0299999999999998</v>
      </c>
    </row>
    <row r="450" spans="1:6" x14ac:dyDescent="0.25">
      <c r="A450" t="s">
        <v>956</v>
      </c>
      <c r="B450" s="1">
        <v>0.3125</v>
      </c>
      <c r="C450" s="1">
        <v>0.4548611111111111</v>
      </c>
      <c r="D450" s="2">
        <v>0.14217592592592593</v>
      </c>
      <c r="E450">
        <v>15.71</v>
      </c>
      <c r="F450">
        <v>4.6100000000000003</v>
      </c>
    </row>
    <row r="451" spans="1:6" x14ac:dyDescent="0.25">
      <c r="A451" t="s">
        <v>930</v>
      </c>
      <c r="B451" s="1">
        <v>0.30625000000000002</v>
      </c>
      <c r="C451" s="1">
        <v>0.53263888888888888</v>
      </c>
      <c r="D451" s="2">
        <v>0.22642361111111112</v>
      </c>
      <c r="E451">
        <v>15.57</v>
      </c>
      <c r="F451">
        <v>2.87</v>
      </c>
    </row>
    <row r="452" spans="1:6" x14ac:dyDescent="0.25">
      <c r="A452" t="s">
        <v>917</v>
      </c>
      <c r="B452" s="1">
        <v>0.31111111111111112</v>
      </c>
      <c r="C452" s="1">
        <v>0.47847222222222224</v>
      </c>
      <c r="D452" s="2">
        <v>0.16724537037037038</v>
      </c>
      <c r="E452">
        <v>15.31</v>
      </c>
      <c r="F452">
        <v>3.82</v>
      </c>
    </row>
    <row r="453" spans="1:6" x14ac:dyDescent="0.25">
      <c r="A453" t="s">
        <v>1195</v>
      </c>
      <c r="B453" s="1">
        <v>0.2902777777777778</v>
      </c>
      <c r="C453" s="1">
        <v>0.39444444444444443</v>
      </c>
      <c r="D453" s="2">
        <v>0.1041087962962963</v>
      </c>
      <c r="E453">
        <v>15.18</v>
      </c>
      <c r="F453">
        <v>6.08</v>
      </c>
    </row>
    <row r="454" spans="1:6" x14ac:dyDescent="0.25">
      <c r="A454" t="s">
        <v>1000</v>
      </c>
      <c r="B454" s="1">
        <v>0.32916666666666666</v>
      </c>
      <c r="C454" s="1">
        <v>0.59791666666666665</v>
      </c>
      <c r="D454" s="2">
        <v>0.26896990740740739</v>
      </c>
      <c r="E454">
        <v>15.15</v>
      </c>
      <c r="F454">
        <v>2.35</v>
      </c>
    </row>
    <row r="455" spans="1:6" x14ac:dyDescent="0.25">
      <c r="A455" t="s">
        <v>797</v>
      </c>
      <c r="B455" s="1">
        <v>0.24583333333333332</v>
      </c>
      <c r="C455" s="1">
        <v>0.6430555555555556</v>
      </c>
      <c r="D455" s="2">
        <v>0.39688657407407407</v>
      </c>
      <c r="E455">
        <v>14.99</v>
      </c>
      <c r="F455">
        <v>1.57</v>
      </c>
    </row>
    <row r="456" spans="1:6" x14ac:dyDescent="0.25">
      <c r="A456" t="s">
        <v>1081</v>
      </c>
      <c r="B456" s="1">
        <v>0.25208333333333333</v>
      </c>
      <c r="C456" s="1">
        <v>0.66180555555555554</v>
      </c>
      <c r="D456" s="2">
        <v>0.4098148148148148</v>
      </c>
      <c r="E456">
        <v>14.96</v>
      </c>
      <c r="F456">
        <v>1.52</v>
      </c>
    </row>
    <row r="457" spans="1:6" x14ac:dyDescent="0.25">
      <c r="A457" t="s">
        <v>866</v>
      </c>
      <c r="B457" s="1">
        <v>0.32500000000000001</v>
      </c>
      <c r="C457" s="1">
        <v>0.56874999999999998</v>
      </c>
      <c r="D457" s="2">
        <v>0.24377314814814816</v>
      </c>
      <c r="E457">
        <v>14.9</v>
      </c>
      <c r="F457">
        <v>2.5499999999999998</v>
      </c>
    </row>
    <row r="458" spans="1:6" x14ac:dyDescent="0.25">
      <c r="A458" t="s">
        <v>845</v>
      </c>
      <c r="B458" s="1">
        <v>2.8472222222222222E-2</v>
      </c>
      <c r="C458" s="1">
        <v>0.10833333333333334</v>
      </c>
      <c r="D458" s="2">
        <v>8.0416666666666664E-2</v>
      </c>
      <c r="E458">
        <v>14.85</v>
      </c>
      <c r="F458">
        <v>7.7</v>
      </c>
    </row>
    <row r="459" spans="1:6" x14ac:dyDescent="0.25">
      <c r="A459" t="s">
        <v>965</v>
      </c>
      <c r="B459" s="1">
        <v>0.22708333333333333</v>
      </c>
      <c r="C459" s="1">
        <v>0.52569444444444446</v>
      </c>
      <c r="D459" s="2">
        <v>0.29828703703703702</v>
      </c>
      <c r="E459">
        <v>14.84</v>
      </c>
      <c r="F459">
        <v>2.0699999999999998</v>
      </c>
    </row>
    <row r="460" spans="1:6" x14ac:dyDescent="0.25">
      <c r="A460" t="s">
        <v>1055</v>
      </c>
      <c r="B460" s="1">
        <v>0.28958333333333336</v>
      </c>
      <c r="C460" s="1">
        <v>0.49652777777777779</v>
      </c>
      <c r="D460" s="2">
        <v>0.20717592592592593</v>
      </c>
      <c r="E460">
        <v>14.84</v>
      </c>
      <c r="F460">
        <v>2.98</v>
      </c>
    </row>
    <row r="461" spans="1:6" x14ac:dyDescent="0.25">
      <c r="A461" t="s">
        <v>944</v>
      </c>
      <c r="B461" s="1">
        <v>0.29583333333333334</v>
      </c>
      <c r="C461" s="1">
        <v>0.60486111111111107</v>
      </c>
      <c r="D461" s="2">
        <v>0.30885416666666665</v>
      </c>
      <c r="E461">
        <v>14.73</v>
      </c>
      <c r="F461">
        <v>1.99</v>
      </c>
    </row>
    <row r="462" spans="1:6" x14ac:dyDescent="0.25">
      <c r="A462" t="s">
        <v>102</v>
      </c>
      <c r="B462" s="1">
        <v>0.27291666666666664</v>
      </c>
      <c r="C462" s="1">
        <v>0.41388888888888886</v>
      </c>
      <c r="D462" s="2">
        <v>0.14070601851851852</v>
      </c>
      <c r="E462">
        <v>14.65</v>
      </c>
      <c r="F462">
        <v>4.34</v>
      </c>
    </row>
    <row r="463" spans="1:6" x14ac:dyDescent="0.25">
      <c r="A463" t="s">
        <v>903</v>
      </c>
      <c r="B463" s="1">
        <v>0.2902777777777778</v>
      </c>
      <c r="C463" s="1">
        <v>0.39513888888888887</v>
      </c>
      <c r="D463" s="2">
        <v>0.10453703703703704</v>
      </c>
      <c r="E463">
        <v>14.65</v>
      </c>
      <c r="F463">
        <v>5.84</v>
      </c>
    </row>
    <row r="464" spans="1:6" x14ac:dyDescent="0.25">
      <c r="A464" t="s">
        <v>952</v>
      </c>
      <c r="B464" s="1">
        <v>0.28611111111111109</v>
      </c>
      <c r="C464" s="1">
        <v>0.50486111111111109</v>
      </c>
      <c r="D464" s="2">
        <v>0.21906249999999999</v>
      </c>
      <c r="E464">
        <v>14.64</v>
      </c>
      <c r="F464">
        <v>2.78</v>
      </c>
    </row>
    <row r="465" spans="1:6" x14ac:dyDescent="0.25">
      <c r="A465" t="s">
        <v>856</v>
      </c>
      <c r="B465" s="1">
        <v>0.30277777777777776</v>
      </c>
      <c r="C465" s="1">
        <v>0.52152777777777781</v>
      </c>
      <c r="D465" s="2">
        <v>0.21844907407407407</v>
      </c>
      <c r="E465">
        <v>14.62</v>
      </c>
      <c r="F465">
        <v>2.79</v>
      </c>
    </row>
    <row r="466" spans="1:6" x14ac:dyDescent="0.25">
      <c r="A466" t="s">
        <v>1185</v>
      </c>
      <c r="B466" s="1">
        <v>0.29583333333333334</v>
      </c>
      <c r="C466" s="1">
        <v>0.66041666666666665</v>
      </c>
      <c r="D466" s="2">
        <v>0.36496527777777776</v>
      </c>
      <c r="E466">
        <v>14.54</v>
      </c>
      <c r="F466">
        <v>1.66</v>
      </c>
    </row>
    <row r="467" spans="1:6" x14ac:dyDescent="0.25">
      <c r="A467" t="s">
        <v>1015</v>
      </c>
      <c r="B467" s="1">
        <v>0.31458333333333333</v>
      </c>
      <c r="C467" s="1">
        <v>0.66041666666666665</v>
      </c>
      <c r="D467" s="2">
        <v>0.3454861111111111</v>
      </c>
      <c r="E467">
        <v>14.52</v>
      </c>
      <c r="F467">
        <v>1.75</v>
      </c>
    </row>
    <row r="468" spans="1:6" x14ac:dyDescent="0.25">
      <c r="A468" t="s">
        <v>905</v>
      </c>
      <c r="B468" s="1">
        <v>0.31180555555555556</v>
      </c>
      <c r="C468" s="1">
        <v>0.53194444444444444</v>
      </c>
      <c r="D468" s="2">
        <v>0.22011574074074075</v>
      </c>
      <c r="E468">
        <v>14.5</v>
      </c>
      <c r="F468">
        <v>2.74</v>
      </c>
    </row>
    <row r="469" spans="1:6" x14ac:dyDescent="0.25">
      <c r="A469" t="s">
        <v>928</v>
      </c>
      <c r="B469" s="1">
        <v>0.27361111111111114</v>
      </c>
      <c r="C469" s="1">
        <v>0.55555555555555558</v>
      </c>
      <c r="D469" s="2">
        <v>0.28157407407407409</v>
      </c>
      <c r="E469">
        <v>14.47</v>
      </c>
      <c r="F469">
        <v>2.14</v>
      </c>
    </row>
    <row r="470" spans="1:6" x14ac:dyDescent="0.25">
      <c r="A470" t="s">
        <v>869</v>
      </c>
      <c r="B470" s="1">
        <v>0.32083333333333336</v>
      </c>
      <c r="C470" s="1">
        <v>0.49444444444444446</v>
      </c>
      <c r="D470" s="2">
        <v>0.17371527777777779</v>
      </c>
      <c r="E470">
        <v>14.09</v>
      </c>
      <c r="F470">
        <v>3.38</v>
      </c>
    </row>
    <row r="471" spans="1:6" x14ac:dyDescent="0.25">
      <c r="A471" t="s">
        <v>824</v>
      </c>
      <c r="B471" s="1">
        <v>0.29652777777777778</v>
      </c>
      <c r="C471" s="1">
        <v>0.45416666666666666</v>
      </c>
      <c r="D471" s="2">
        <v>0.15782407407407406</v>
      </c>
      <c r="E471">
        <v>14.03</v>
      </c>
      <c r="F471">
        <v>3.7</v>
      </c>
    </row>
    <row r="472" spans="1:6" x14ac:dyDescent="0.25">
      <c r="A472" t="s">
        <v>880</v>
      </c>
      <c r="B472" s="1">
        <v>0.32013888888888886</v>
      </c>
      <c r="C472" s="1">
        <v>0.46041666666666664</v>
      </c>
      <c r="D472" s="2">
        <v>0.13983796296296297</v>
      </c>
      <c r="E472">
        <v>14</v>
      </c>
      <c r="F472">
        <v>4.17</v>
      </c>
    </row>
    <row r="473" spans="1:6" x14ac:dyDescent="0.25">
      <c r="A473" t="s">
        <v>876</v>
      </c>
      <c r="B473" s="1">
        <v>0.30694444444444446</v>
      </c>
      <c r="C473" s="1">
        <v>0.46458333333333335</v>
      </c>
      <c r="D473" s="2">
        <v>0.1575462962962963</v>
      </c>
      <c r="E473">
        <v>13.99</v>
      </c>
      <c r="F473">
        <v>3.7</v>
      </c>
    </row>
    <row r="474" spans="1:6" x14ac:dyDescent="0.25">
      <c r="A474" t="s">
        <v>825</v>
      </c>
      <c r="B474" s="1">
        <v>0.28055555555555556</v>
      </c>
      <c r="C474" s="1">
        <v>0.59166666666666667</v>
      </c>
      <c r="D474" s="2">
        <v>0.31156250000000002</v>
      </c>
      <c r="E474">
        <v>13.92</v>
      </c>
      <c r="F474">
        <v>1.86</v>
      </c>
    </row>
    <row r="475" spans="1:6" x14ac:dyDescent="0.25">
      <c r="A475" t="s">
        <v>863</v>
      </c>
      <c r="B475" s="1">
        <v>0.28125</v>
      </c>
      <c r="C475" s="1">
        <v>0.49791666666666667</v>
      </c>
      <c r="D475" s="2">
        <v>0.21649305555555556</v>
      </c>
      <c r="E475">
        <v>13.91</v>
      </c>
      <c r="F475">
        <v>2.68</v>
      </c>
    </row>
    <row r="476" spans="1:6" x14ac:dyDescent="0.25">
      <c r="A476" t="s">
        <v>942</v>
      </c>
      <c r="B476" s="1">
        <v>0.2951388888888889</v>
      </c>
      <c r="C476" s="1">
        <v>0.46458333333333335</v>
      </c>
      <c r="D476" s="2">
        <v>0.16943287037037036</v>
      </c>
      <c r="E476">
        <v>13.78</v>
      </c>
      <c r="F476">
        <v>3.39</v>
      </c>
    </row>
    <row r="477" spans="1:6" x14ac:dyDescent="0.25">
      <c r="A477" t="s">
        <v>846</v>
      </c>
      <c r="B477" s="1">
        <v>0.29236111111111113</v>
      </c>
      <c r="C477" s="1">
        <v>0.59861111111111109</v>
      </c>
      <c r="D477" s="2">
        <v>0.3067361111111111</v>
      </c>
      <c r="E477">
        <v>13.77</v>
      </c>
      <c r="F477">
        <v>1.87</v>
      </c>
    </row>
    <row r="478" spans="1:6" x14ac:dyDescent="0.25">
      <c r="A478" t="s">
        <v>847</v>
      </c>
      <c r="B478" s="1">
        <v>0.30069444444444443</v>
      </c>
      <c r="C478" s="1">
        <v>0.39861111111111114</v>
      </c>
      <c r="D478" s="2">
        <v>9.7870370370370371E-2</v>
      </c>
      <c r="E478">
        <v>13.7</v>
      </c>
      <c r="F478">
        <v>5.83</v>
      </c>
    </row>
    <row r="479" spans="1:6" x14ac:dyDescent="0.25">
      <c r="A479" t="s">
        <v>1016</v>
      </c>
      <c r="B479" s="1">
        <v>0.29375000000000001</v>
      </c>
      <c r="C479" s="1">
        <v>0.6069444444444444</v>
      </c>
      <c r="D479" s="2">
        <v>0.31351851851851853</v>
      </c>
      <c r="E479">
        <v>13.62</v>
      </c>
      <c r="F479">
        <v>1.81</v>
      </c>
    </row>
    <row r="480" spans="1:6" x14ac:dyDescent="0.25">
      <c r="A480" t="s">
        <v>795</v>
      </c>
      <c r="B480" s="1">
        <v>0.35347222222222224</v>
      </c>
      <c r="C480" s="1">
        <v>0.53819444444444442</v>
      </c>
      <c r="D480" s="2">
        <v>0.1842013888888889</v>
      </c>
      <c r="E480">
        <v>13.45</v>
      </c>
      <c r="F480">
        <v>3.04</v>
      </c>
    </row>
    <row r="481" spans="1:6" x14ac:dyDescent="0.25">
      <c r="A481" t="s">
        <v>833</v>
      </c>
      <c r="B481" s="1">
        <v>0.30972222222222223</v>
      </c>
      <c r="C481" s="1">
        <v>0.51111111111111107</v>
      </c>
      <c r="D481" s="2">
        <v>0.20170138888888889</v>
      </c>
      <c r="E481">
        <v>13.26</v>
      </c>
      <c r="F481">
        <v>2.74</v>
      </c>
    </row>
    <row r="482" spans="1:6" x14ac:dyDescent="0.25">
      <c r="A482" t="s">
        <v>862</v>
      </c>
      <c r="B482" s="1">
        <v>0.29722222222222222</v>
      </c>
      <c r="C482" s="1">
        <v>0.49791666666666667</v>
      </c>
      <c r="D482" s="2">
        <v>0.20037037037037037</v>
      </c>
      <c r="E482">
        <v>13.18</v>
      </c>
      <c r="F482">
        <v>2.74</v>
      </c>
    </row>
    <row r="483" spans="1:6" x14ac:dyDescent="0.25">
      <c r="A483" t="s">
        <v>835</v>
      </c>
      <c r="B483" s="1">
        <v>0.27291666666666664</v>
      </c>
      <c r="C483" s="1">
        <v>0.6333333333333333</v>
      </c>
      <c r="D483" s="2">
        <v>0.36039351851851853</v>
      </c>
      <c r="E483">
        <v>13.11</v>
      </c>
      <c r="F483">
        <v>1.52</v>
      </c>
    </row>
    <row r="484" spans="1:6" x14ac:dyDescent="0.25">
      <c r="A484" t="s">
        <v>105</v>
      </c>
      <c r="B484" s="1">
        <v>0.25277777777777777</v>
      </c>
      <c r="C484" s="1">
        <v>0.47499999999999998</v>
      </c>
      <c r="D484" s="2">
        <v>0.22211805555555555</v>
      </c>
      <c r="E484">
        <v>13.08</v>
      </c>
      <c r="F484">
        <v>2.4500000000000002</v>
      </c>
    </row>
    <row r="485" spans="1:6" x14ac:dyDescent="0.25">
      <c r="A485" t="s">
        <v>879</v>
      </c>
      <c r="B485" s="1">
        <v>0.35625000000000001</v>
      </c>
      <c r="C485" s="1">
        <v>0.51458333333333328</v>
      </c>
      <c r="D485" s="2">
        <v>0.15864583333333335</v>
      </c>
      <c r="E485">
        <v>12.75</v>
      </c>
      <c r="F485">
        <v>3.35</v>
      </c>
    </row>
    <row r="486" spans="1:6" x14ac:dyDescent="0.25">
      <c r="A486" t="s">
        <v>1223</v>
      </c>
      <c r="B486" s="1">
        <v>0.32291666666666669</v>
      </c>
      <c r="C486" s="1">
        <v>0.46458333333333335</v>
      </c>
      <c r="D486" s="2">
        <v>0.14131944444444444</v>
      </c>
      <c r="E486">
        <v>12.63</v>
      </c>
      <c r="F486">
        <v>3.72</v>
      </c>
    </row>
    <row r="487" spans="1:6" x14ac:dyDescent="0.25">
      <c r="A487" t="s">
        <v>762</v>
      </c>
      <c r="B487" s="1">
        <v>0.28958333333333336</v>
      </c>
      <c r="C487" s="1">
        <v>0.41388888888888886</v>
      </c>
      <c r="D487" s="2">
        <v>0.12479166666666666</v>
      </c>
      <c r="E487">
        <v>12.59</v>
      </c>
      <c r="F487">
        <v>4.2</v>
      </c>
    </row>
    <row r="488" spans="1:6" x14ac:dyDescent="0.25">
      <c r="A488" t="s">
        <v>47</v>
      </c>
      <c r="B488" s="1">
        <v>0.23749999999999999</v>
      </c>
      <c r="C488" s="1">
        <v>0.43611111111111112</v>
      </c>
      <c r="D488" s="2">
        <v>0.19898148148148148</v>
      </c>
      <c r="E488">
        <v>12.48</v>
      </c>
      <c r="F488">
        <v>2.61</v>
      </c>
    </row>
    <row r="489" spans="1:6" x14ac:dyDescent="0.25">
      <c r="A489" t="s">
        <v>960</v>
      </c>
      <c r="B489" s="1">
        <v>0.29097222222222224</v>
      </c>
      <c r="C489" s="1">
        <v>0.64027777777777772</v>
      </c>
      <c r="D489" s="2">
        <v>0.34899305555555554</v>
      </c>
      <c r="E489">
        <v>12.41</v>
      </c>
      <c r="F489">
        <v>1.48</v>
      </c>
    </row>
    <row r="490" spans="1:6" x14ac:dyDescent="0.25">
      <c r="A490" t="s">
        <v>97</v>
      </c>
      <c r="B490" s="1">
        <v>0.27361111111111114</v>
      </c>
      <c r="C490" s="1">
        <v>0.54097222222222219</v>
      </c>
      <c r="D490" s="2">
        <v>0.26716435185185183</v>
      </c>
      <c r="E490">
        <v>12.41</v>
      </c>
      <c r="F490">
        <v>1.94</v>
      </c>
    </row>
    <row r="491" spans="1:6" x14ac:dyDescent="0.25">
      <c r="A491" t="s">
        <v>763</v>
      </c>
      <c r="B491" s="1">
        <v>0.32430555555555557</v>
      </c>
      <c r="C491" s="1">
        <v>0.42777777777777776</v>
      </c>
      <c r="D491" s="2">
        <v>0.1030787037037037</v>
      </c>
      <c r="E491">
        <v>12.36</v>
      </c>
      <c r="F491">
        <v>5</v>
      </c>
    </row>
    <row r="492" spans="1:6" x14ac:dyDescent="0.25">
      <c r="A492" t="s">
        <v>851</v>
      </c>
      <c r="B492" s="1">
        <v>0.22500000000000001</v>
      </c>
      <c r="C492" s="1">
        <v>0.59583333333333333</v>
      </c>
      <c r="D492" s="2">
        <v>0.3707523148148148</v>
      </c>
      <c r="E492">
        <v>12.32</v>
      </c>
      <c r="F492">
        <v>1.38</v>
      </c>
    </row>
    <row r="493" spans="1:6" x14ac:dyDescent="0.25">
      <c r="A493" t="s">
        <v>838</v>
      </c>
      <c r="B493" s="1">
        <v>0.36666666666666664</v>
      </c>
      <c r="C493" s="1">
        <v>0.49513888888888891</v>
      </c>
      <c r="D493" s="2">
        <v>0.12861111111111112</v>
      </c>
      <c r="E493">
        <v>12</v>
      </c>
      <c r="F493">
        <v>3.89</v>
      </c>
    </row>
    <row r="494" spans="1:6" x14ac:dyDescent="0.25">
      <c r="A494" t="s">
        <v>931</v>
      </c>
      <c r="B494" s="1">
        <v>0.32083333333333336</v>
      </c>
      <c r="C494" s="1">
        <v>0.54861111111111116</v>
      </c>
      <c r="D494" s="2">
        <v>0.22777777777777777</v>
      </c>
      <c r="E494">
        <v>11.95</v>
      </c>
      <c r="F494">
        <v>2.19</v>
      </c>
    </row>
    <row r="495" spans="1:6" x14ac:dyDescent="0.25">
      <c r="A495" t="s">
        <v>854</v>
      </c>
      <c r="B495" s="1">
        <v>0.30763888888888891</v>
      </c>
      <c r="C495" s="1">
        <v>0.60972222222222228</v>
      </c>
      <c r="D495" s="2">
        <v>0.30190972222222223</v>
      </c>
      <c r="E495">
        <v>11.89</v>
      </c>
      <c r="F495">
        <v>1.64</v>
      </c>
    </row>
    <row r="496" spans="1:6" x14ac:dyDescent="0.25">
      <c r="A496" t="s">
        <v>826</v>
      </c>
      <c r="B496" s="1">
        <v>0.32500000000000001</v>
      </c>
      <c r="C496" s="1">
        <v>0.56666666666666665</v>
      </c>
      <c r="D496" s="2">
        <v>0.24173611111111112</v>
      </c>
      <c r="E496">
        <v>11.78</v>
      </c>
      <c r="F496">
        <v>2.0299999999999998</v>
      </c>
    </row>
    <row r="497" spans="1:6" x14ac:dyDescent="0.25">
      <c r="A497" t="s">
        <v>823</v>
      </c>
      <c r="B497" s="1">
        <v>0.30902777777777779</v>
      </c>
      <c r="C497" s="1">
        <v>0.44305555555555554</v>
      </c>
      <c r="D497" s="2">
        <v>0.13364583333333332</v>
      </c>
      <c r="E497">
        <v>11.66</v>
      </c>
      <c r="F497">
        <v>3.64</v>
      </c>
    </row>
    <row r="498" spans="1:6" x14ac:dyDescent="0.25">
      <c r="A498" t="s">
        <v>62</v>
      </c>
      <c r="B498" s="1">
        <v>0.26597222222222222</v>
      </c>
      <c r="C498" s="1">
        <v>0.47499999999999998</v>
      </c>
      <c r="D498" s="2">
        <v>0.20924768518518519</v>
      </c>
      <c r="E498">
        <v>11.64</v>
      </c>
      <c r="F498">
        <v>2.3199999999999998</v>
      </c>
    </row>
    <row r="499" spans="1:6" x14ac:dyDescent="0.25">
      <c r="A499" t="s">
        <v>873</v>
      </c>
      <c r="B499" s="1">
        <v>0.28958333333333336</v>
      </c>
      <c r="C499" s="1">
        <v>0.42708333333333331</v>
      </c>
      <c r="D499" s="2">
        <v>0.13740740740740739</v>
      </c>
      <c r="E499">
        <v>11.63</v>
      </c>
      <c r="F499">
        <v>3.53</v>
      </c>
    </row>
    <row r="500" spans="1:6" x14ac:dyDescent="0.25">
      <c r="A500" t="s">
        <v>855</v>
      </c>
      <c r="B500" s="1">
        <v>0.32222222222222224</v>
      </c>
      <c r="C500" s="1">
        <v>0.54305555555555551</v>
      </c>
      <c r="D500" s="2">
        <v>0.22097222222222221</v>
      </c>
      <c r="E500">
        <v>11.49</v>
      </c>
      <c r="F500">
        <v>2.17</v>
      </c>
    </row>
    <row r="501" spans="1:6" x14ac:dyDescent="0.25">
      <c r="A501" t="s">
        <v>921</v>
      </c>
      <c r="B501" s="1">
        <v>0.30486111111111114</v>
      </c>
      <c r="C501" s="1">
        <v>0.5180555555555556</v>
      </c>
      <c r="D501" s="2">
        <v>0.21371527777777777</v>
      </c>
      <c r="E501">
        <v>11.37</v>
      </c>
      <c r="F501">
        <v>2.2200000000000002</v>
      </c>
    </row>
    <row r="502" spans="1:6" x14ac:dyDescent="0.25">
      <c r="A502" t="s">
        <v>842</v>
      </c>
      <c r="B502" s="1">
        <v>0.3034722222222222</v>
      </c>
      <c r="C502" s="1">
        <v>0.60624999999999996</v>
      </c>
      <c r="D502" s="2">
        <v>0.30274305555555553</v>
      </c>
      <c r="E502">
        <v>11.14</v>
      </c>
      <c r="F502">
        <v>1.53</v>
      </c>
    </row>
    <row r="503" spans="1:6" x14ac:dyDescent="0.25">
      <c r="A503" t="s">
        <v>780</v>
      </c>
      <c r="B503" s="1">
        <v>0.28472222222222221</v>
      </c>
      <c r="C503" s="1">
        <v>0.61458333333333337</v>
      </c>
      <c r="D503" s="2">
        <v>0.32950231481481479</v>
      </c>
      <c r="E503">
        <v>11.09</v>
      </c>
      <c r="F503">
        <v>1.4</v>
      </c>
    </row>
    <row r="504" spans="1:6" x14ac:dyDescent="0.25">
      <c r="A504" t="s">
        <v>791</v>
      </c>
      <c r="B504" s="1">
        <v>0.29583333333333334</v>
      </c>
      <c r="C504" s="1">
        <v>0.63888888888888884</v>
      </c>
      <c r="D504" s="2">
        <v>0.34278935185185183</v>
      </c>
      <c r="E504">
        <v>10.95</v>
      </c>
      <c r="F504">
        <v>1.33</v>
      </c>
    </row>
    <row r="505" spans="1:6" x14ac:dyDescent="0.25">
      <c r="A505" t="s">
        <v>892</v>
      </c>
      <c r="B505" s="1">
        <v>0.31666666666666665</v>
      </c>
      <c r="C505" s="1">
        <v>0.60833333333333328</v>
      </c>
      <c r="D505" s="2">
        <v>0.29142361111111109</v>
      </c>
      <c r="E505">
        <v>10.9</v>
      </c>
      <c r="F505">
        <v>1.56</v>
      </c>
    </row>
    <row r="506" spans="1:6" x14ac:dyDescent="0.25">
      <c r="A506" t="s">
        <v>843</v>
      </c>
      <c r="B506" s="1">
        <v>0.33263888888888887</v>
      </c>
      <c r="C506" s="1">
        <v>0.43819444444444444</v>
      </c>
      <c r="D506" s="2">
        <v>0.10591435185185186</v>
      </c>
      <c r="E506">
        <v>10.9</v>
      </c>
      <c r="F506">
        <v>4.29</v>
      </c>
    </row>
    <row r="507" spans="1:6" x14ac:dyDescent="0.25">
      <c r="A507" t="s">
        <v>830</v>
      </c>
      <c r="B507" s="1">
        <v>0.35902777777777778</v>
      </c>
      <c r="C507" s="1">
        <v>0.46736111111111112</v>
      </c>
      <c r="D507" s="2">
        <v>0.1078587962962963</v>
      </c>
      <c r="E507">
        <v>10.73</v>
      </c>
      <c r="F507">
        <v>4.1399999999999997</v>
      </c>
    </row>
    <row r="508" spans="1:6" x14ac:dyDescent="0.25">
      <c r="A508" t="s">
        <v>1227</v>
      </c>
      <c r="B508" s="1">
        <v>0.34791666666666665</v>
      </c>
      <c r="C508" s="1">
        <v>0.52083333333333337</v>
      </c>
      <c r="D508" s="2">
        <v>0.17303240740740741</v>
      </c>
      <c r="E508">
        <v>10.43</v>
      </c>
      <c r="F508">
        <v>2.5099999999999998</v>
      </c>
    </row>
    <row r="509" spans="1:6" x14ac:dyDescent="0.25">
      <c r="A509" t="s">
        <v>971</v>
      </c>
      <c r="B509" s="1">
        <v>0.31041666666666667</v>
      </c>
      <c r="C509" s="1">
        <v>0.46597222222222223</v>
      </c>
      <c r="D509" s="2">
        <v>0.1557523148148148</v>
      </c>
      <c r="E509">
        <v>10.17</v>
      </c>
      <c r="F509">
        <v>2.72</v>
      </c>
    </row>
    <row r="510" spans="1:6" x14ac:dyDescent="0.25">
      <c r="A510" t="s">
        <v>788</v>
      </c>
      <c r="B510" s="1">
        <v>0.28611111111111109</v>
      </c>
      <c r="C510" s="1">
        <v>0.5</v>
      </c>
      <c r="D510" s="2">
        <v>0.21362268518518518</v>
      </c>
      <c r="E510">
        <v>9.8000000000000007</v>
      </c>
      <c r="F510">
        <v>1.91</v>
      </c>
    </row>
    <row r="511" spans="1:6" x14ac:dyDescent="0.25">
      <c r="A511" t="s">
        <v>881</v>
      </c>
      <c r="B511" s="1">
        <v>0.31527777777777777</v>
      </c>
      <c r="C511" s="1">
        <v>0.44097222222222221</v>
      </c>
      <c r="D511" s="2">
        <v>0.12560185185185185</v>
      </c>
      <c r="E511">
        <v>9.5299999999999994</v>
      </c>
      <c r="F511">
        <v>3.16</v>
      </c>
    </row>
    <row r="512" spans="1:6" x14ac:dyDescent="0.25">
      <c r="A512" t="s">
        <v>808</v>
      </c>
      <c r="B512" s="1">
        <v>0.30277777777777776</v>
      </c>
      <c r="C512" s="1">
        <v>0.66111111111111109</v>
      </c>
      <c r="D512" s="2">
        <v>0.35819444444444443</v>
      </c>
      <c r="E512">
        <v>9.44</v>
      </c>
      <c r="F512">
        <v>1.1000000000000001</v>
      </c>
    </row>
    <row r="513" spans="1:6" x14ac:dyDescent="0.25">
      <c r="A513" t="s">
        <v>861</v>
      </c>
      <c r="B513" s="1">
        <v>0.34166666666666667</v>
      </c>
      <c r="C513" s="1">
        <v>0.4597222222222222</v>
      </c>
      <c r="D513" s="2">
        <v>0.11778935185185185</v>
      </c>
      <c r="E513">
        <v>9.17</v>
      </c>
      <c r="F513">
        <v>3.24</v>
      </c>
    </row>
    <row r="514" spans="1:6" x14ac:dyDescent="0.25">
      <c r="A514" t="s">
        <v>834</v>
      </c>
      <c r="B514" s="1">
        <v>0.34861111111111109</v>
      </c>
      <c r="C514" s="1">
        <v>0.55902777777777779</v>
      </c>
      <c r="D514" s="2">
        <v>0.21042824074074074</v>
      </c>
      <c r="E514">
        <v>8.2200000000000006</v>
      </c>
      <c r="F514">
        <v>1.63</v>
      </c>
    </row>
    <row r="515" spans="1:6" x14ac:dyDescent="0.25">
      <c r="A515" t="s">
        <v>781</v>
      </c>
      <c r="B515" s="1">
        <v>0.42152777777777778</v>
      </c>
      <c r="C515" s="1">
        <v>0.46180555555555558</v>
      </c>
      <c r="D515" s="2">
        <v>3.9884259259259258E-2</v>
      </c>
      <c r="E515">
        <v>8.08</v>
      </c>
      <c r="F515">
        <v>8.44</v>
      </c>
    </row>
    <row r="516" spans="1:6" x14ac:dyDescent="0.25">
      <c r="A516" t="s">
        <v>109</v>
      </c>
      <c r="B516" s="1">
        <v>0.26874999999999999</v>
      </c>
      <c r="C516" s="1">
        <v>0.39027777777777778</v>
      </c>
      <c r="D516" s="2">
        <v>0.12150462962962963</v>
      </c>
      <c r="E516">
        <v>7.99</v>
      </c>
      <c r="F516">
        <v>2.74</v>
      </c>
    </row>
    <row r="517" spans="1:6" x14ac:dyDescent="0.25">
      <c r="A517" t="s">
        <v>1041</v>
      </c>
      <c r="B517" s="1">
        <v>0.26944444444444443</v>
      </c>
      <c r="C517" s="1">
        <v>0.66319444444444442</v>
      </c>
      <c r="D517" s="2">
        <v>0.39381944444444444</v>
      </c>
      <c r="E517">
        <v>7.3</v>
      </c>
      <c r="F517">
        <v>0.77</v>
      </c>
    </row>
    <row r="518" spans="1:6" x14ac:dyDescent="0.25">
      <c r="A518" t="s">
        <v>895</v>
      </c>
      <c r="B518" s="1">
        <v>0.59861111111111109</v>
      </c>
      <c r="C518" s="1">
        <v>0.6381944444444444</v>
      </c>
      <c r="D518" s="2">
        <v>3.9398148148148147E-2</v>
      </c>
      <c r="E518">
        <v>7.09</v>
      </c>
      <c r="F518">
        <v>7.5</v>
      </c>
    </row>
    <row r="519" spans="1:6" x14ac:dyDescent="0.25">
      <c r="A519" t="s">
        <v>812</v>
      </c>
      <c r="B519" s="1">
        <v>0.30486111111111114</v>
      </c>
      <c r="C519" s="1">
        <v>0.65208333333333335</v>
      </c>
      <c r="D519" s="2">
        <v>0.34715277777777775</v>
      </c>
      <c r="E519">
        <v>6.35</v>
      </c>
      <c r="F519">
        <v>0.76</v>
      </c>
    </row>
    <row r="520" spans="1:6" x14ac:dyDescent="0.25">
      <c r="A520" t="s">
        <v>829</v>
      </c>
      <c r="B520" s="1">
        <v>0.27916666666666667</v>
      </c>
      <c r="C520" s="1">
        <v>0.44791666666666669</v>
      </c>
      <c r="D520" s="2">
        <v>0.16909722222222223</v>
      </c>
      <c r="E520">
        <v>6.18</v>
      </c>
      <c r="F520">
        <v>1.52</v>
      </c>
    </row>
    <row r="521" spans="1:6" x14ac:dyDescent="0.25">
      <c r="A521" t="s">
        <v>68</v>
      </c>
      <c r="B521" s="1">
        <v>0.28055555555555556</v>
      </c>
      <c r="C521" s="1">
        <v>0.35486111111111113</v>
      </c>
      <c r="D521" s="2">
        <v>7.4837962962962967E-2</v>
      </c>
      <c r="E521">
        <v>6.01</v>
      </c>
      <c r="F521">
        <v>3.35</v>
      </c>
    </row>
    <row r="522" spans="1:6" x14ac:dyDescent="0.25">
      <c r="A522" t="s">
        <v>798</v>
      </c>
      <c r="B522" s="1">
        <v>0.3263888888888889</v>
      </c>
      <c r="C522" s="1">
        <v>0.55277777777777781</v>
      </c>
      <c r="D522" s="2">
        <v>0.22576388888888888</v>
      </c>
      <c r="E522">
        <v>5</v>
      </c>
      <c r="F522">
        <v>0.92</v>
      </c>
    </row>
    <row r="523" spans="1:6" x14ac:dyDescent="0.25">
      <c r="A523" t="s">
        <v>836</v>
      </c>
      <c r="B523" s="1">
        <v>0.36458333333333331</v>
      </c>
      <c r="C523" s="1">
        <v>0.56180555555555556</v>
      </c>
      <c r="D523" s="2">
        <v>0.1966087962962963</v>
      </c>
      <c r="E523">
        <v>4.99</v>
      </c>
      <c r="F523">
        <v>1.06</v>
      </c>
    </row>
    <row r="524" spans="1:6" x14ac:dyDescent="0.25">
      <c r="A524" t="s">
        <v>958</v>
      </c>
      <c r="B524" s="1">
        <v>2.7083333333333334E-2</v>
      </c>
      <c r="C524" s="1">
        <v>0.66041666666666665</v>
      </c>
      <c r="D524" s="2">
        <v>0.63310185185185186</v>
      </c>
      <c r="E524">
        <v>4.9000000000000004</v>
      </c>
      <c r="F524">
        <v>0.32</v>
      </c>
    </row>
    <row r="525" spans="1:6" x14ac:dyDescent="0.25">
      <c r="A525" t="s">
        <v>822</v>
      </c>
      <c r="B525" s="1">
        <v>0.28125</v>
      </c>
      <c r="C525" s="1">
        <v>0.65347222222222223</v>
      </c>
      <c r="D525" s="2">
        <v>0.37258101851851849</v>
      </c>
      <c r="E525">
        <v>4.7699999999999996</v>
      </c>
      <c r="F525">
        <v>0.53</v>
      </c>
    </row>
    <row r="526" spans="1:6" x14ac:dyDescent="0.25">
      <c r="A526" t="s">
        <v>818</v>
      </c>
      <c r="B526" s="1">
        <v>0.31319444444444444</v>
      </c>
      <c r="C526" s="1">
        <v>0.40625</v>
      </c>
      <c r="D526" s="2">
        <v>9.2476851851851852E-2</v>
      </c>
      <c r="E526">
        <v>3.78</v>
      </c>
      <c r="F526">
        <v>1.7</v>
      </c>
    </row>
    <row r="527" spans="1:6" x14ac:dyDescent="0.25">
      <c r="A527" t="s">
        <v>802</v>
      </c>
      <c r="B527" s="1">
        <v>0.26597222222222222</v>
      </c>
      <c r="C527" s="1">
        <v>0.44513888888888886</v>
      </c>
      <c r="D527" s="2">
        <v>0.17922453703703703</v>
      </c>
      <c r="E527">
        <v>3.44</v>
      </c>
      <c r="F527">
        <v>0.8</v>
      </c>
    </row>
    <row r="528" spans="1:6" x14ac:dyDescent="0.25">
      <c r="A528" t="s">
        <v>811</v>
      </c>
      <c r="B528" s="1">
        <v>0.31458333333333333</v>
      </c>
      <c r="C528" s="1">
        <v>0.34097222222222223</v>
      </c>
      <c r="D528" s="2">
        <v>2.6562499999999999E-2</v>
      </c>
      <c r="E528">
        <v>3.12</v>
      </c>
      <c r="F528">
        <v>4.9000000000000004</v>
      </c>
    </row>
    <row r="529" spans="1:6" x14ac:dyDescent="0.25">
      <c r="A529" t="s">
        <v>817</v>
      </c>
      <c r="B529" s="1">
        <v>0.31805555555555554</v>
      </c>
      <c r="C529" s="1">
        <v>0.54861111111111116</v>
      </c>
      <c r="D529" s="2">
        <v>0.23020833333333332</v>
      </c>
      <c r="E529">
        <v>2.96</v>
      </c>
      <c r="F529">
        <v>0.54</v>
      </c>
    </row>
    <row r="530" spans="1:6" x14ac:dyDescent="0.25">
      <c r="A530" t="s">
        <v>804</v>
      </c>
      <c r="B530" s="1">
        <v>0.30833333333333335</v>
      </c>
      <c r="C530" s="1">
        <v>0.47986111111111113</v>
      </c>
      <c r="D530" s="2">
        <v>0.17157407407407407</v>
      </c>
      <c r="E530">
        <v>2.71</v>
      </c>
      <c r="F530">
        <v>0.66</v>
      </c>
    </row>
    <row r="531" spans="1:6" x14ac:dyDescent="0.25">
      <c r="A531" t="s">
        <v>806</v>
      </c>
      <c r="B531" s="1">
        <v>0.31111111111111112</v>
      </c>
      <c r="C531" s="1">
        <v>0.48055555555555557</v>
      </c>
      <c r="D531" s="2">
        <v>0.16942129629629629</v>
      </c>
      <c r="E531">
        <v>2.33</v>
      </c>
      <c r="F531">
        <v>0.56999999999999995</v>
      </c>
    </row>
    <row r="532" spans="1:6" x14ac:dyDescent="0.25">
      <c r="A532" t="s">
        <v>88</v>
      </c>
      <c r="B532" s="1">
        <v>0.39791666666666664</v>
      </c>
      <c r="C532" s="1">
        <v>0.44722222222222224</v>
      </c>
      <c r="D532" s="2">
        <v>4.9039351851851855E-2</v>
      </c>
      <c r="E532">
        <v>1.04</v>
      </c>
      <c r="F532">
        <v>0.88</v>
      </c>
    </row>
    <row r="533" spans="1:6" x14ac:dyDescent="0.25">
      <c r="A533" t="s">
        <v>889</v>
      </c>
      <c r="B533" s="1">
        <v>0.31944444444444442</v>
      </c>
      <c r="C533" s="1">
        <v>0.38194444444444442</v>
      </c>
      <c r="D533" s="2">
        <v>6.2384259259259257E-2</v>
      </c>
      <c r="E533">
        <v>0.98</v>
      </c>
      <c r="F533">
        <v>0.66</v>
      </c>
    </row>
    <row r="534" spans="1:6" x14ac:dyDescent="0.25">
      <c r="A534" t="s">
        <v>954</v>
      </c>
      <c r="B534" s="1">
        <v>6.9444444444444447E-4</v>
      </c>
      <c r="C534" s="1">
        <v>0.64166666666666672</v>
      </c>
      <c r="D534" s="2">
        <v>0.64101851851851854</v>
      </c>
      <c r="E534">
        <v>0.7</v>
      </c>
      <c r="F534">
        <v>0.05</v>
      </c>
    </row>
    <row r="535" spans="1:6" x14ac:dyDescent="0.25">
      <c r="A535" t="s">
        <v>872</v>
      </c>
      <c r="B535" s="1">
        <v>0.4201388888888889</v>
      </c>
      <c r="C535" s="1">
        <v>0.49583333333333335</v>
      </c>
      <c r="D535" s="2">
        <v>7.5624999999999998E-2</v>
      </c>
      <c r="E535">
        <v>0.64</v>
      </c>
      <c r="F535">
        <v>0.35</v>
      </c>
    </row>
    <row r="536" spans="1:6" x14ac:dyDescent="0.25">
      <c r="A536" t="s">
        <v>1248</v>
      </c>
      <c r="B536" s="1">
        <v>0.43263888888888891</v>
      </c>
      <c r="C536" s="1">
        <v>0.55000000000000004</v>
      </c>
      <c r="D536" s="2">
        <v>0.11748842592592593</v>
      </c>
      <c r="E536">
        <v>0.59</v>
      </c>
      <c r="F536">
        <v>0.21</v>
      </c>
    </row>
    <row r="537" spans="1:6" x14ac:dyDescent="0.25">
      <c r="A537" t="s">
        <v>764</v>
      </c>
      <c r="B537" s="1">
        <v>0.23749999999999999</v>
      </c>
      <c r="C537" s="1">
        <v>0.4826388888888889</v>
      </c>
      <c r="D537" s="2">
        <v>0.2447337962962963</v>
      </c>
      <c r="E537">
        <v>0.33</v>
      </c>
      <c r="F537">
        <v>0.06</v>
      </c>
    </row>
    <row r="538" spans="1:6" x14ac:dyDescent="0.25">
      <c r="A538" t="s">
        <v>1245</v>
      </c>
      <c r="B538" s="1">
        <v>0.51666666666666672</v>
      </c>
      <c r="C538" s="1">
        <v>0.51944444444444449</v>
      </c>
      <c r="D538" s="2">
        <v>2.8240740740740739E-3</v>
      </c>
      <c r="E538">
        <v>0.26</v>
      </c>
      <c r="F538">
        <v>3.8</v>
      </c>
    </row>
    <row r="539" spans="1:6" x14ac:dyDescent="0.25">
      <c r="A539" t="s">
        <v>800</v>
      </c>
      <c r="B539" s="1">
        <v>0.38611111111111113</v>
      </c>
      <c r="C539" s="1">
        <v>0.48749999999999999</v>
      </c>
      <c r="D539" s="2">
        <v>0.10112268518518519</v>
      </c>
      <c r="E539">
        <v>0.14000000000000001</v>
      </c>
      <c r="F539">
        <v>0.06</v>
      </c>
    </row>
    <row r="540" spans="1:6" x14ac:dyDescent="0.25">
      <c r="A540" t="s">
        <v>1047</v>
      </c>
      <c r="B540" s="1">
        <v>0.36041666666666666</v>
      </c>
      <c r="C540" s="1">
        <v>0.42152777777777778</v>
      </c>
      <c r="D540" s="2">
        <v>6.173611111111111E-2</v>
      </c>
      <c r="E540">
        <v>0.12</v>
      </c>
      <c r="F540">
        <v>0.08</v>
      </c>
    </row>
    <row r="541" spans="1:6" x14ac:dyDescent="0.25">
      <c r="A541" t="s">
        <v>779</v>
      </c>
      <c r="B541" s="1">
        <v>0.35833333333333334</v>
      </c>
      <c r="C541" s="1">
        <v>0.39861111111111114</v>
      </c>
      <c r="D541" s="2">
        <v>4.0543981481481479E-2</v>
      </c>
      <c r="E541">
        <v>0.11</v>
      </c>
      <c r="F541">
        <v>0.12</v>
      </c>
    </row>
    <row r="542" spans="1:6" x14ac:dyDescent="0.25">
      <c r="A542" t="s">
        <v>827</v>
      </c>
      <c r="B542" s="1">
        <v>0.51875000000000004</v>
      </c>
      <c r="C542" s="1">
        <v>0.64583333333333337</v>
      </c>
      <c r="D542" s="2">
        <v>0.12668981481481481</v>
      </c>
      <c r="E542">
        <v>0.09</v>
      </c>
      <c r="F542">
        <v>0.03</v>
      </c>
    </row>
    <row r="543" spans="1:6" x14ac:dyDescent="0.25">
      <c r="A543" t="s">
        <v>778</v>
      </c>
      <c r="B543" s="1">
        <v>0.26527777777777778</v>
      </c>
      <c r="C543" s="1">
        <v>0.53125</v>
      </c>
      <c r="D543" s="2">
        <v>0.26575231481481482</v>
      </c>
      <c r="E543">
        <v>0.06</v>
      </c>
      <c r="F543">
        <v>0.01</v>
      </c>
    </row>
    <row r="544" spans="1:6" x14ac:dyDescent="0.25">
      <c r="A544" t="s">
        <v>1257</v>
      </c>
      <c r="B544" s="1">
        <v>0.32013888888888886</v>
      </c>
      <c r="C544" s="1">
        <v>0.33333333333333331</v>
      </c>
      <c r="D544" s="2">
        <v>1.292824074074074E-2</v>
      </c>
      <c r="E544">
        <v>0.04</v>
      </c>
      <c r="F544">
        <v>0.12</v>
      </c>
    </row>
    <row r="545" spans="1:6" x14ac:dyDescent="0.25">
      <c r="A545" t="s">
        <v>1247</v>
      </c>
      <c r="B545" s="1">
        <v>0.54097222222222219</v>
      </c>
      <c r="C545" s="1">
        <v>0.54374999999999996</v>
      </c>
      <c r="D545" s="2">
        <v>2.3611111111111111E-3</v>
      </c>
      <c r="E545">
        <v>0.02</v>
      </c>
      <c r="F545">
        <v>0.27</v>
      </c>
    </row>
    <row r="546" spans="1:6" x14ac:dyDescent="0.25">
      <c r="A546" t="s">
        <v>969</v>
      </c>
      <c r="B546" s="1">
        <v>0.22916666666666666</v>
      </c>
      <c r="C546" s="1">
        <v>0.22916666666666666</v>
      </c>
      <c r="D546" s="2">
        <v>0</v>
      </c>
      <c r="E546">
        <v>0</v>
      </c>
      <c r="F546">
        <v>0</v>
      </c>
    </row>
    <row r="547" spans="1:6" x14ac:dyDescent="0.25">
      <c r="A547" t="s">
        <v>1256</v>
      </c>
      <c r="B547" s="1">
        <v>0.22916666666666666</v>
      </c>
      <c r="C547" s="1">
        <v>0.22916666666666666</v>
      </c>
      <c r="D547" s="2">
        <v>0</v>
      </c>
      <c r="E547">
        <v>0</v>
      </c>
      <c r="F547">
        <v>0</v>
      </c>
    </row>
    <row r="548" spans="1:6" x14ac:dyDescent="0.25">
      <c r="A548" t="s">
        <v>783</v>
      </c>
      <c r="B548" s="1">
        <v>0.22916666666666666</v>
      </c>
      <c r="C548" s="1">
        <v>0.22916666666666666</v>
      </c>
      <c r="D548" s="2">
        <v>0</v>
      </c>
      <c r="E548">
        <v>0</v>
      </c>
      <c r="F548">
        <v>0</v>
      </c>
    </row>
    <row r="549" spans="1:6" x14ac:dyDescent="0.25">
      <c r="A549" t="s">
        <v>1187</v>
      </c>
      <c r="B549" s="1">
        <v>0.65833333333333333</v>
      </c>
      <c r="C549" s="1">
        <v>0.65833333333333333</v>
      </c>
      <c r="D549" s="2">
        <v>0</v>
      </c>
      <c r="E549">
        <v>0</v>
      </c>
      <c r="F549">
        <v>0</v>
      </c>
    </row>
    <row r="550" spans="1:6" x14ac:dyDescent="0.25">
      <c r="A550" t="s">
        <v>782</v>
      </c>
      <c r="B550" s="1">
        <v>0.22916666666666666</v>
      </c>
      <c r="C550" s="1">
        <v>0.22916666666666666</v>
      </c>
      <c r="D550" s="2">
        <v>0</v>
      </c>
      <c r="E550">
        <v>0</v>
      </c>
      <c r="F550">
        <v>0</v>
      </c>
    </row>
    <row r="551" spans="1:6" x14ac:dyDescent="0.25">
      <c r="A551" t="s">
        <v>867</v>
      </c>
      <c r="B551" s="1">
        <v>0.22916666666666666</v>
      </c>
      <c r="C551" s="1">
        <v>0.22916666666666666</v>
      </c>
      <c r="D551" s="2">
        <v>0</v>
      </c>
      <c r="E551">
        <v>0</v>
      </c>
      <c r="F551">
        <v>0</v>
      </c>
    </row>
    <row r="552" spans="1:6" x14ac:dyDescent="0.25">
      <c r="A552" t="s">
        <v>805</v>
      </c>
      <c r="B552" s="1">
        <v>0.22916666666666666</v>
      </c>
      <c r="C552" s="1">
        <v>0.22916666666666666</v>
      </c>
      <c r="D552" s="2">
        <v>0</v>
      </c>
      <c r="E552">
        <v>0</v>
      </c>
      <c r="F552">
        <v>0</v>
      </c>
    </row>
    <row r="553" spans="1:6" x14ac:dyDescent="0.25">
      <c r="A553" t="s">
        <v>871</v>
      </c>
      <c r="B553" s="1">
        <v>0.22916666666666666</v>
      </c>
      <c r="C553" s="1">
        <v>0.22916666666666666</v>
      </c>
      <c r="D553" s="2">
        <v>0</v>
      </c>
      <c r="E553">
        <v>0</v>
      </c>
      <c r="F553">
        <v>0</v>
      </c>
    </row>
    <row r="554" spans="1:6" x14ac:dyDescent="0.25">
      <c r="A554" t="s">
        <v>777</v>
      </c>
      <c r="B554" s="1">
        <v>0.22916666666666666</v>
      </c>
      <c r="C554" s="1">
        <v>0.22916666666666666</v>
      </c>
      <c r="D554" s="2">
        <v>0</v>
      </c>
      <c r="E554">
        <v>0</v>
      </c>
      <c r="F554">
        <v>0</v>
      </c>
    </row>
    <row r="555" spans="1:6" x14ac:dyDescent="0.25">
      <c r="A555" t="s">
        <v>897</v>
      </c>
      <c r="B555" s="1">
        <v>0.22916666666666666</v>
      </c>
      <c r="C555" s="1">
        <v>0.22916666666666666</v>
      </c>
      <c r="D555" s="2">
        <v>0</v>
      </c>
      <c r="E555">
        <v>0</v>
      </c>
      <c r="F555">
        <v>0</v>
      </c>
    </row>
    <row r="556" spans="1:6" x14ac:dyDescent="0.25">
      <c r="A556" t="s">
        <v>120</v>
      </c>
      <c r="B556" s="1">
        <v>0.22916666666666666</v>
      </c>
      <c r="C556" s="1">
        <v>0.22916666666666666</v>
      </c>
      <c r="D556" s="2">
        <v>0</v>
      </c>
      <c r="E556">
        <v>0</v>
      </c>
      <c r="F556">
        <v>0</v>
      </c>
    </row>
    <row r="557" spans="1:6" x14ac:dyDescent="0.25">
      <c r="A557" t="s">
        <v>1211</v>
      </c>
      <c r="B557" s="1">
        <v>0.22916666666666666</v>
      </c>
      <c r="C557" s="1">
        <v>0.22916666666666666</v>
      </c>
      <c r="D557" s="2">
        <v>0</v>
      </c>
      <c r="E557">
        <v>0</v>
      </c>
      <c r="F557">
        <v>0</v>
      </c>
    </row>
    <row r="558" spans="1:6" x14ac:dyDescent="0.25">
      <c r="A558" t="s">
        <v>1249</v>
      </c>
      <c r="B558" s="1">
        <v>0.22916666666666666</v>
      </c>
      <c r="C558" s="1">
        <v>0.22916666666666666</v>
      </c>
      <c r="D558" s="2">
        <v>0</v>
      </c>
      <c r="E558">
        <v>0</v>
      </c>
      <c r="F558">
        <v>0</v>
      </c>
    </row>
    <row r="559" spans="1:6" x14ac:dyDescent="0.25">
      <c r="A559" t="s">
        <v>775</v>
      </c>
      <c r="B559" s="1">
        <v>0.22916666666666666</v>
      </c>
      <c r="C559" s="1">
        <v>0.22916666666666666</v>
      </c>
      <c r="D559" s="2">
        <v>0</v>
      </c>
      <c r="E559">
        <v>0</v>
      </c>
      <c r="F559">
        <v>0</v>
      </c>
    </row>
    <row r="560" spans="1:6" x14ac:dyDescent="0.25">
      <c r="A560" t="s">
        <v>774</v>
      </c>
      <c r="B560" s="1">
        <v>0.22916666666666666</v>
      </c>
      <c r="C560" s="1">
        <v>0.22916666666666666</v>
      </c>
      <c r="D560" s="2">
        <v>0</v>
      </c>
      <c r="E560">
        <v>0</v>
      </c>
      <c r="F560">
        <v>0</v>
      </c>
    </row>
    <row r="561" spans="1:6" x14ac:dyDescent="0.25">
      <c r="A561" t="s">
        <v>898</v>
      </c>
      <c r="B561" s="1">
        <v>0.22916666666666666</v>
      </c>
      <c r="C561" s="1">
        <v>0.22916666666666666</v>
      </c>
      <c r="D561" s="2">
        <v>0</v>
      </c>
      <c r="E561">
        <v>0</v>
      </c>
      <c r="F561">
        <v>0</v>
      </c>
    </row>
    <row r="562" spans="1:6" x14ac:dyDescent="0.25">
      <c r="A562" t="s">
        <v>976</v>
      </c>
      <c r="B562" s="1">
        <v>0.22916666666666666</v>
      </c>
      <c r="C562" s="1">
        <v>0.22916666666666666</v>
      </c>
      <c r="D562" s="2">
        <v>0</v>
      </c>
      <c r="E562">
        <v>0</v>
      </c>
      <c r="F562">
        <v>0</v>
      </c>
    </row>
    <row r="563" spans="1:6" x14ac:dyDescent="0.25">
      <c r="A563" t="s">
        <v>773</v>
      </c>
      <c r="B563" s="1">
        <v>0.22916666666666666</v>
      </c>
      <c r="C563" s="1">
        <v>0.22916666666666666</v>
      </c>
      <c r="D563" s="2">
        <v>0</v>
      </c>
      <c r="E563">
        <v>0</v>
      </c>
      <c r="F563">
        <v>0</v>
      </c>
    </row>
    <row r="564" spans="1:6" x14ac:dyDescent="0.25">
      <c r="A564" t="s">
        <v>772</v>
      </c>
      <c r="B564" s="1">
        <v>0.22916666666666666</v>
      </c>
      <c r="C564" s="1">
        <v>0.22916666666666666</v>
      </c>
      <c r="D564" s="2">
        <v>0</v>
      </c>
      <c r="E564">
        <v>0</v>
      </c>
      <c r="F564">
        <v>0</v>
      </c>
    </row>
    <row r="565" spans="1:6" x14ac:dyDescent="0.25">
      <c r="A565" t="s">
        <v>1261</v>
      </c>
      <c r="B565" s="1">
        <v>0.22916666666666666</v>
      </c>
      <c r="C565" s="1">
        <v>0.22916666666666666</v>
      </c>
      <c r="D565" s="2">
        <v>0</v>
      </c>
      <c r="E565">
        <v>0</v>
      </c>
      <c r="F565">
        <v>0</v>
      </c>
    </row>
    <row r="566" spans="1:6" x14ac:dyDescent="0.25">
      <c r="A566" t="s">
        <v>925</v>
      </c>
      <c r="B566" s="1">
        <v>0.22916666666666666</v>
      </c>
      <c r="C566" s="1">
        <v>0.22916666666666666</v>
      </c>
      <c r="D566" s="2">
        <v>0</v>
      </c>
      <c r="E566">
        <v>0</v>
      </c>
      <c r="F566">
        <v>0</v>
      </c>
    </row>
    <row r="567" spans="1:6" x14ac:dyDescent="0.25">
      <c r="A567" t="s">
        <v>768</v>
      </c>
      <c r="B567" s="1">
        <v>0.22916666666666666</v>
      </c>
      <c r="C567" s="1">
        <v>0.22916666666666666</v>
      </c>
      <c r="D567" s="2">
        <v>0</v>
      </c>
      <c r="E567">
        <v>0</v>
      </c>
      <c r="F567">
        <v>0</v>
      </c>
    </row>
    <row r="568" spans="1:6" x14ac:dyDescent="0.25">
      <c r="A568" t="s">
        <v>767</v>
      </c>
      <c r="B568" s="1">
        <v>0.4236111111111111</v>
      </c>
      <c r="C568" s="1">
        <v>0.4236111111111111</v>
      </c>
      <c r="D568" s="2">
        <v>0</v>
      </c>
      <c r="E568">
        <v>0</v>
      </c>
      <c r="F568">
        <v>0</v>
      </c>
    </row>
    <row r="569" spans="1:6" x14ac:dyDescent="0.25">
      <c r="A569" t="s">
        <v>766</v>
      </c>
      <c r="B569" s="1">
        <v>0.22916666666666666</v>
      </c>
      <c r="C569" s="1">
        <v>0.22916666666666666</v>
      </c>
      <c r="D569" s="2">
        <v>0</v>
      </c>
      <c r="E569">
        <v>0</v>
      </c>
      <c r="F569">
        <v>0</v>
      </c>
    </row>
    <row r="570" spans="1:6" x14ac:dyDescent="0.25">
      <c r="A570" t="s">
        <v>1120</v>
      </c>
      <c r="B570" s="1">
        <v>0.22916666666666666</v>
      </c>
      <c r="C570" s="1">
        <v>0.22916666666666666</v>
      </c>
      <c r="D570" s="2">
        <v>0</v>
      </c>
      <c r="E570">
        <v>0</v>
      </c>
      <c r="F570">
        <v>0</v>
      </c>
    </row>
    <row r="571" spans="1:6" x14ac:dyDescent="0.25">
      <c r="A571" t="s">
        <v>765</v>
      </c>
      <c r="B571" s="1">
        <v>0.22916666666666666</v>
      </c>
      <c r="C571" s="1">
        <v>0.22916666666666666</v>
      </c>
      <c r="D571" s="2">
        <v>0</v>
      </c>
      <c r="E571">
        <v>0</v>
      </c>
      <c r="F571">
        <v>0</v>
      </c>
    </row>
    <row r="572" spans="1:6" x14ac:dyDescent="0.25">
      <c r="A572" t="s">
        <v>104</v>
      </c>
      <c r="B572" s="1">
        <v>0.22916666666666666</v>
      </c>
      <c r="C572" s="1">
        <v>0.22916666666666666</v>
      </c>
      <c r="D572" s="2">
        <v>0</v>
      </c>
      <c r="E572">
        <v>0</v>
      </c>
      <c r="F572">
        <v>0</v>
      </c>
    </row>
    <row r="573" spans="1:6" x14ac:dyDescent="0.25">
      <c r="B573" s="1"/>
      <c r="C573" s="1"/>
      <c r="D573" s="2"/>
    </row>
    <row r="574" spans="1:6" x14ac:dyDescent="0.25">
      <c r="B574" s="1"/>
      <c r="C574" s="1"/>
      <c r="D574" s="2"/>
    </row>
    <row r="575" spans="1:6" x14ac:dyDescent="0.25">
      <c r="B575" s="1"/>
      <c r="C575" s="1"/>
      <c r="D575" s="2"/>
    </row>
    <row r="576" spans="1:6" x14ac:dyDescent="0.25">
      <c r="B576" s="1"/>
      <c r="C576" s="1"/>
      <c r="D576" s="2"/>
    </row>
    <row r="577" spans="1:6" x14ac:dyDescent="0.25">
      <c r="B577" s="1"/>
      <c r="C577" s="1"/>
      <c r="D577" s="2"/>
    </row>
    <row r="578" spans="1:6" x14ac:dyDescent="0.25">
      <c r="A578" s="8"/>
      <c r="B578" s="39"/>
      <c r="C578" s="39"/>
      <c r="D578" s="38"/>
      <c r="E578" s="8"/>
      <c r="F578" s="8"/>
    </row>
    <row r="579" spans="1:6" x14ac:dyDescent="0.25">
      <c r="A579" s="8"/>
      <c r="B579" s="39"/>
      <c r="C579" s="39"/>
      <c r="D579" s="38"/>
      <c r="E579" s="8"/>
      <c r="F579" s="8"/>
    </row>
    <row r="580" spans="1:6" x14ac:dyDescent="0.25">
      <c r="A580" s="8"/>
      <c r="B580" s="39"/>
      <c r="C580" s="39"/>
      <c r="D580" s="38"/>
      <c r="E580" s="8"/>
      <c r="F580" s="8"/>
    </row>
    <row r="581" spans="1:6" x14ac:dyDescent="0.25">
      <c r="A581" s="8"/>
      <c r="B581" s="39"/>
      <c r="C581" s="39"/>
      <c r="D581" s="38"/>
      <c r="E581" s="8"/>
      <c r="F581" s="8"/>
    </row>
    <row r="582" spans="1:6" x14ac:dyDescent="0.25">
      <c r="A582" s="8"/>
      <c r="B582" s="39"/>
      <c r="C582" s="39"/>
      <c r="D582" s="38"/>
      <c r="E582" s="8"/>
      <c r="F582" s="8"/>
    </row>
    <row r="583" spans="1:6" x14ac:dyDescent="0.25">
      <c r="A583" s="8"/>
      <c r="B583" s="39"/>
      <c r="C583" s="39"/>
      <c r="D583" s="38"/>
      <c r="E583" s="8"/>
      <c r="F583" s="8"/>
    </row>
    <row r="584" spans="1:6" x14ac:dyDescent="0.25">
      <c r="B584" s="1"/>
      <c r="C584" s="1"/>
      <c r="D584" s="2"/>
    </row>
    <row r="585" spans="1:6" x14ac:dyDescent="0.25">
      <c r="B585" s="1"/>
      <c r="C585" s="1"/>
      <c r="D585" s="2"/>
    </row>
    <row r="586" spans="1:6" x14ac:dyDescent="0.25">
      <c r="B586" s="1"/>
      <c r="C586" s="1"/>
      <c r="D586" s="2"/>
    </row>
    <row r="587" spans="1:6" x14ac:dyDescent="0.25">
      <c r="B587" s="1"/>
      <c r="C587" s="1"/>
      <c r="D587" s="2"/>
    </row>
    <row r="588" spans="1:6" x14ac:dyDescent="0.25">
      <c r="B588" s="1"/>
      <c r="C588" s="1"/>
      <c r="D588" s="2"/>
    </row>
    <row r="589" spans="1:6" x14ac:dyDescent="0.25">
      <c r="B589" s="1"/>
      <c r="C589" s="1"/>
      <c r="D589" s="2"/>
    </row>
    <row r="590" spans="1:6" x14ac:dyDescent="0.25">
      <c r="B590" s="1"/>
      <c r="C590" s="1"/>
      <c r="D59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7814-0E2F-4767-B074-D12FA7B08655}">
  <dimension ref="A1:C437"/>
  <sheetViews>
    <sheetView topLeftCell="A200" workbookViewId="0">
      <selection activeCell="B223" sqref="B223"/>
    </sheetView>
  </sheetViews>
  <sheetFormatPr defaultRowHeight="15" x14ac:dyDescent="0.25"/>
  <cols>
    <col min="1" max="1" width="30.28515625" style="8" bestFit="1" customWidth="1"/>
    <col min="2" max="2" width="20.7109375" style="8" customWidth="1"/>
    <col min="3" max="16384" width="9.140625" style="8"/>
  </cols>
  <sheetData>
    <row r="1" spans="1:3" x14ac:dyDescent="0.25">
      <c r="A1" s="8" t="s">
        <v>472</v>
      </c>
      <c r="B1" s="8" t="s">
        <v>810</v>
      </c>
      <c r="C1" s="8">
        <v>89</v>
      </c>
    </row>
    <row r="2" spans="1:3" x14ac:dyDescent="0.25">
      <c r="A2" s="8" t="s">
        <v>201</v>
      </c>
      <c r="B2" s="8" t="s">
        <v>1071</v>
      </c>
      <c r="C2" s="8">
        <v>88</v>
      </c>
    </row>
    <row r="3" spans="1:3" x14ac:dyDescent="0.25">
      <c r="A3" s="8" t="s">
        <v>169</v>
      </c>
      <c r="B3" s="8" t="s">
        <v>53</v>
      </c>
      <c r="C3" s="8">
        <v>93</v>
      </c>
    </row>
    <row r="4" spans="1:3" x14ac:dyDescent="0.25">
      <c r="A4" s="8" t="s">
        <v>160</v>
      </c>
      <c r="B4" s="8" t="s">
        <v>1016</v>
      </c>
      <c r="C4" s="8">
        <v>88</v>
      </c>
    </row>
    <row r="5" spans="1:3" x14ac:dyDescent="0.25">
      <c r="A5" s="8" t="s">
        <v>158</v>
      </c>
      <c r="B5" s="8" t="s">
        <v>943</v>
      </c>
      <c r="C5" s="8">
        <v>87</v>
      </c>
    </row>
    <row r="6" spans="1:3" x14ac:dyDescent="0.25">
      <c r="A6" s="8" t="s">
        <v>632</v>
      </c>
      <c r="B6" s="8" t="s">
        <v>992</v>
      </c>
      <c r="C6" s="8">
        <v>100</v>
      </c>
    </row>
    <row r="7" spans="1:3" x14ac:dyDescent="0.25">
      <c r="A7" s="8" t="s">
        <v>202</v>
      </c>
      <c r="B7" s="8" t="s">
        <v>17</v>
      </c>
      <c r="C7" s="8">
        <v>82</v>
      </c>
    </row>
    <row r="8" spans="1:3" x14ac:dyDescent="0.25">
      <c r="A8" s="8" t="s">
        <v>557</v>
      </c>
      <c r="B8" s="8" t="s">
        <v>820</v>
      </c>
      <c r="C8" s="8">
        <v>0</v>
      </c>
    </row>
    <row r="9" spans="1:3" x14ac:dyDescent="0.25">
      <c r="A9" s="8" t="s">
        <v>537</v>
      </c>
      <c r="B9" s="8" t="s">
        <v>49</v>
      </c>
      <c r="C9" s="8">
        <v>91</v>
      </c>
    </row>
    <row r="10" spans="1:3" x14ac:dyDescent="0.25">
      <c r="A10" s="8" t="s">
        <v>621</v>
      </c>
      <c r="B10" s="8" t="s">
        <v>1027</v>
      </c>
      <c r="C10" s="8">
        <v>100</v>
      </c>
    </row>
    <row r="11" spans="1:3" x14ac:dyDescent="0.25">
      <c r="A11" s="8" t="s">
        <v>588</v>
      </c>
      <c r="B11" s="8" t="s">
        <v>874</v>
      </c>
      <c r="C11" s="8">
        <v>50</v>
      </c>
    </row>
    <row r="12" spans="1:3" x14ac:dyDescent="0.25">
      <c r="A12" s="8" t="s">
        <v>204</v>
      </c>
      <c r="B12" s="8" t="s">
        <v>1221</v>
      </c>
      <c r="C12" s="8">
        <v>89</v>
      </c>
    </row>
    <row r="13" spans="1:3" x14ac:dyDescent="0.25">
      <c r="A13" s="8" t="s">
        <v>205</v>
      </c>
      <c r="B13" s="8" t="s">
        <v>984</v>
      </c>
      <c r="C13" s="8">
        <v>86</v>
      </c>
    </row>
    <row r="14" spans="1:3" x14ac:dyDescent="0.25">
      <c r="A14" s="8" t="s">
        <v>710</v>
      </c>
      <c r="B14" s="8" t="s">
        <v>1056</v>
      </c>
      <c r="C14" s="8">
        <v>33</v>
      </c>
    </row>
    <row r="15" spans="1:3" x14ac:dyDescent="0.25">
      <c r="A15" s="8" t="s">
        <v>555</v>
      </c>
      <c r="B15" s="8" t="s">
        <v>800</v>
      </c>
      <c r="C15" s="8">
        <v>0</v>
      </c>
    </row>
    <row r="16" spans="1:3" x14ac:dyDescent="0.25">
      <c r="A16" s="8" t="s">
        <v>558</v>
      </c>
      <c r="B16" s="8" t="s">
        <v>1006</v>
      </c>
      <c r="C16" s="8">
        <v>33</v>
      </c>
    </row>
    <row r="17" spans="1:3" x14ac:dyDescent="0.25">
      <c r="A17" s="8" t="s">
        <v>573</v>
      </c>
      <c r="B17" s="8" t="s">
        <v>786</v>
      </c>
      <c r="C17" s="8">
        <v>0</v>
      </c>
    </row>
    <row r="18" spans="1:3" x14ac:dyDescent="0.25">
      <c r="A18" s="8" t="s">
        <v>206</v>
      </c>
      <c r="B18" s="8" t="s">
        <v>94</v>
      </c>
      <c r="C18" s="8">
        <v>91</v>
      </c>
    </row>
    <row r="19" spans="1:3" x14ac:dyDescent="0.25">
      <c r="A19" s="8" t="s">
        <v>137</v>
      </c>
      <c r="B19" s="8" t="s">
        <v>20</v>
      </c>
      <c r="C19" s="8">
        <v>90</v>
      </c>
    </row>
    <row r="20" spans="1:3" x14ac:dyDescent="0.25">
      <c r="A20" s="8" t="s">
        <v>161</v>
      </c>
      <c r="B20" s="8" t="s">
        <v>100</v>
      </c>
      <c r="C20" s="8">
        <v>96</v>
      </c>
    </row>
    <row r="21" spans="1:3" x14ac:dyDescent="0.25">
      <c r="A21" s="8" t="s">
        <v>207</v>
      </c>
      <c r="B21" s="8" t="s">
        <v>1064</v>
      </c>
      <c r="C21" s="8">
        <v>85</v>
      </c>
    </row>
    <row r="22" spans="1:3" x14ac:dyDescent="0.25">
      <c r="A22" s="8" t="s">
        <v>208</v>
      </c>
      <c r="B22" s="8" t="s">
        <v>1030</v>
      </c>
      <c r="C22" s="8">
        <v>90</v>
      </c>
    </row>
    <row r="23" spans="1:3" x14ac:dyDescent="0.25">
      <c r="A23" s="8" t="s">
        <v>615</v>
      </c>
      <c r="B23" s="8" t="s">
        <v>1100</v>
      </c>
      <c r="C23" s="8">
        <v>100</v>
      </c>
    </row>
    <row r="24" spans="1:3" x14ac:dyDescent="0.25">
      <c r="A24" s="8" t="s">
        <v>192</v>
      </c>
      <c r="B24" s="8" t="s">
        <v>18</v>
      </c>
      <c r="C24" s="8">
        <v>50</v>
      </c>
    </row>
    <row r="25" spans="1:3" x14ac:dyDescent="0.25">
      <c r="A25" s="8" t="s">
        <v>687</v>
      </c>
      <c r="B25" s="8" t="s">
        <v>955</v>
      </c>
      <c r="C25" s="8">
        <v>87</v>
      </c>
    </row>
    <row r="26" spans="1:3" x14ac:dyDescent="0.25">
      <c r="A26" s="8" t="s">
        <v>554</v>
      </c>
      <c r="B26" s="8" t="s">
        <v>833</v>
      </c>
      <c r="C26" s="8">
        <v>100</v>
      </c>
    </row>
    <row r="27" spans="1:3" x14ac:dyDescent="0.25">
      <c r="A27" s="8" t="s">
        <v>178</v>
      </c>
      <c r="B27" s="8" t="s">
        <v>63</v>
      </c>
      <c r="C27" s="8">
        <v>92</v>
      </c>
    </row>
    <row r="28" spans="1:3" x14ac:dyDescent="0.25">
      <c r="A28" s="8" t="s">
        <v>174</v>
      </c>
      <c r="B28" s="8" t="s">
        <v>1093</v>
      </c>
      <c r="C28" s="8">
        <v>100</v>
      </c>
    </row>
    <row r="29" spans="1:3" x14ac:dyDescent="0.25">
      <c r="A29" s="8" t="s">
        <v>149</v>
      </c>
      <c r="B29" s="8" t="s">
        <v>968</v>
      </c>
      <c r="C29" s="8">
        <v>83</v>
      </c>
    </row>
    <row r="30" spans="1:3" x14ac:dyDescent="0.25">
      <c r="A30" s="8" t="s">
        <v>209</v>
      </c>
      <c r="B30" s="8" t="s">
        <v>86</v>
      </c>
      <c r="C30" s="8">
        <v>93</v>
      </c>
    </row>
    <row r="31" spans="1:3" x14ac:dyDescent="0.25">
      <c r="A31" s="8" t="s">
        <v>648</v>
      </c>
      <c r="B31" s="8" t="s">
        <v>997</v>
      </c>
      <c r="C31" s="8">
        <v>50</v>
      </c>
    </row>
    <row r="32" spans="1:3" x14ac:dyDescent="0.25">
      <c r="A32" s="8" t="s">
        <v>623</v>
      </c>
      <c r="B32" s="8" t="s">
        <v>1130</v>
      </c>
      <c r="C32" s="8">
        <v>0</v>
      </c>
    </row>
    <row r="33" spans="1:3" x14ac:dyDescent="0.25">
      <c r="A33" s="8" t="s">
        <v>195</v>
      </c>
      <c r="B33" s="8" t="s">
        <v>1222</v>
      </c>
      <c r="C33" s="8">
        <v>0</v>
      </c>
    </row>
    <row r="34" spans="1:3" x14ac:dyDescent="0.25">
      <c r="A34" s="8" t="s">
        <v>188</v>
      </c>
      <c r="B34" s="8" t="s">
        <v>1122</v>
      </c>
      <c r="C34" s="8">
        <v>94</v>
      </c>
    </row>
    <row r="35" spans="1:3" x14ac:dyDescent="0.25">
      <c r="A35" s="8" t="s">
        <v>590</v>
      </c>
      <c r="B35" s="8" t="s">
        <v>932</v>
      </c>
      <c r="C35" s="8">
        <v>0</v>
      </c>
    </row>
    <row r="36" spans="1:3" x14ac:dyDescent="0.25">
      <c r="A36" s="8" t="s">
        <v>702</v>
      </c>
      <c r="B36" s="8" t="s">
        <v>1196</v>
      </c>
      <c r="C36" s="8">
        <v>100</v>
      </c>
    </row>
    <row r="37" spans="1:3" x14ac:dyDescent="0.25">
      <c r="A37" s="8" t="s">
        <v>210</v>
      </c>
      <c r="B37" s="8" t="s">
        <v>85</v>
      </c>
      <c r="C37" s="8">
        <v>96</v>
      </c>
    </row>
    <row r="38" spans="1:3" x14ac:dyDescent="0.25">
      <c r="A38" s="8" t="s">
        <v>479</v>
      </c>
      <c r="B38" s="8" t="s">
        <v>62</v>
      </c>
      <c r="C38" s="8">
        <v>91</v>
      </c>
    </row>
    <row r="39" spans="1:3" x14ac:dyDescent="0.25">
      <c r="A39" s="8" t="s">
        <v>181</v>
      </c>
      <c r="B39" s="8" t="s">
        <v>1080</v>
      </c>
      <c r="C39" s="8">
        <v>79</v>
      </c>
    </row>
    <row r="40" spans="1:3" x14ac:dyDescent="0.25">
      <c r="A40" s="8" t="s">
        <v>485</v>
      </c>
      <c r="B40" s="8" t="s">
        <v>1012</v>
      </c>
      <c r="C40" s="8">
        <v>100</v>
      </c>
    </row>
    <row r="41" spans="1:3" x14ac:dyDescent="0.25">
      <c r="A41" s="8" t="s">
        <v>581</v>
      </c>
      <c r="B41" s="8" t="s">
        <v>1242</v>
      </c>
      <c r="C41" s="8">
        <v>0</v>
      </c>
    </row>
    <row r="42" spans="1:3" x14ac:dyDescent="0.25">
      <c r="A42" s="8" t="s">
        <v>662</v>
      </c>
      <c r="B42" s="8" t="s">
        <v>908</v>
      </c>
      <c r="C42" s="8">
        <v>100</v>
      </c>
    </row>
    <row r="43" spans="1:3" x14ac:dyDescent="0.25">
      <c r="A43" s="8" t="s">
        <v>704</v>
      </c>
      <c r="B43" s="8" t="s">
        <v>1015</v>
      </c>
      <c r="C43" s="8">
        <v>50</v>
      </c>
    </row>
    <row r="44" spans="1:3" x14ac:dyDescent="0.25">
      <c r="A44" s="8" t="s">
        <v>705</v>
      </c>
      <c r="B44" s="8" t="s">
        <v>1070</v>
      </c>
      <c r="C44" s="8">
        <v>50</v>
      </c>
    </row>
    <row r="45" spans="1:3" x14ac:dyDescent="0.25">
      <c r="A45" s="8" t="s">
        <v>513</v>
      </c>
      <c r="B45" s="8" t="s">
        <v>1018</v>
      </c>
      <c r="C45" s="8">
        <v>45</v>
      </c>
    </row>
    <row r="46" spans="1:3" x14ac:dyDescent="0.25">
      <c r="A46" s="8" t="s">
        <v>165</v>
      </c>
      <c r="B46" s="8" t="s">
        <v>40</v>
      </c>
      <c r="C46" s="8">
        <v>94</v>
      </c>
    </row>
    <row r="47" spans="1:3" x14ac:dyDescent="0.25">
      <c r="A47" s="8" t="s">
        <v>568</v>
      </c>
      <c r="B47" s="8" t="s">
        <v>985</v>
      </c>
      <c r="C47" s="8">
        <v>100</v>
      </c>
    </row>
    <row r="48" spans="1:3" x14ac:dyDescent="0.25">
      <c r="A48" s="8" t="s">
        <v>570</v>
      </c>
      <c r="B48" s="8" t="s">
        <v>1097</v>
      </c>
      <c r="C48" s="8">
        <v>100</v>
      </c>
    </row>
    <row r="49" spans="1:3" x14ac:dyDescent="0.25">
      <c r="A49" s="8" t="s">
        <v>630</v>
      </c>
      <c r="B49" s="8" t="s">
        <v>1223</v>
      </c>
      <c r="C49" s="8">
        <v>100</v>
      </c>
    </row>
    <row r="50" spans="1:3" x14ac:dyDescent="0.25">
      <c r="A50" s="8" t="s">
        <v>642</v>
      </c>
      <c r="B50" s="8" t="s">
        <v>906</v>
      </c>
      <c r="C50" s="8">
        <v>100</v>
      </c>
    </row>
    <row r="51" spans="1:3" x14ac:dyDescent="0.25">
      <c r="A51" s="8" t="s">
        <v>154</v>
      </c>
      <c r="B51" s="8" t="s">
        <v>957</v>
      </c>
      <c r="C51" s="8">
        <v>94</v>
      </c>
    </row>
    <row r="52" spans="1:3" x14ac:dyDescent="0.25">
      <c r="A52" s="8" t="s">
        <v>596</v>
      </c>
      <c r="B52" s="8" t="s">
        <v>828</v>
      </c>
      <c r="C52" s="8">
        <v>100</v>
      </c>
    </row>
    <row r="53" spans="1:3" x14ac:dyDescent="0.25">
      <c r="A53" s="8" t="s">
        <v>211</v>
      </c>
      <c r="B53" s="8" t="s">
        <v>1183</v>
      </c>
      <c r="C53" s="8">
        <v>95</v>
      </c>
    </row>
    <row r="54" spans="1:3" x14ac:dyDescent="0.25">
      <c r="A54" s="8" t="s">
        <v>212</v>
      </c>
      <c r="B54" s="8" t="s">
        <v>80</v>
      </c>
      <c r="C54" s="8">
        <v>75</v>
      </c>
    </row>
    <row r="55" spans="1:3" x14ac:dyDescent="0.25">
      <c r="A55" s="8" t="s">
        <v>172</v>
      </c>
      <c r="B55" s="8" t="s">
        <v>1066</v>
      </c>
      <c r="C55" s="8">
        <v>90</v>
      </c>
    </row>
    <row r="56" spans="1:3" x14ac:dyDescent="0.25">
      <c r="A56" s="8" t="s">
        <v>213</v>
      </c>
      <c r="B56" s="8" t="s">
        <v>1077</v>
      </c>
      <c r="C56" s="8">
        <v>98</v>
      </c>
    </row>
    <row r="57" spans="1:3" x14ac:dyDescent="0.25">
      <c r="A57" s="8" t="s">
        <v>214</v>
      </c>
      <c r="B57" s="8" t="s">
        <v>1082</v>
      </c>
      <c r="C57" s="8">
        <v>100</v>
      </c>
    </row>
    <row r="58" spans="1:3" x14ac:dyDescent="0.25">
      <c r="A58" s="8" t="s">
        <v>603</v>
      </c>
      <c r="B58" s="8" t="s">
        <v>1008</v>
      </c>
      <c r="C58" s="8">
        <v>0</v>
      </c>
    </row>
    <row r="59" spans="1:3" x14ac:dyDescent="0.25">
      <c r="A59" s="8" t="s">
        <v>514</v>
      </c>
      <c r="B59" s="8" t="s">
        <v>1065</v>
      </c>
      <c r="C59" s="8">
        <v>91</v>
      </c>
    </row>
    <row r="60" spans="1:3" x14ac:dyDescent="0.25">
      <c r="A60" s="8" t="s">
        <v>215</v>
      </c>
      <c r="B60" s="8" t="s">
        <v>1203</v>
      </c>
      <c r="C60" s="8">
        <v>93</v>
      </c>
    </row>
    <row r="61" spans="1:3" x14ac:dyDescent="0.25">
      <c r="A61" s="8" t="s">
        <v>482</v>
      </c>
      <c r="B61" s="8" t="s">
        <v>1207</v>
      </c>
      <c r="C61" s="8">
        <v>95</v>
      </c>
    </row>
    <row r="62" spans="1:3" x14ac:dyDescent="0.25">
      <c r="A62" s="8" t="s">
        <v>673</v>
      </c>
      <c r="B62" s="8" t="s">
        <v>901</v>
      </c>
      <c r="C62" s="8">
        <v>100</v>
      </c>
    </row>
    <row r="63" spans="1:3" x14ac:dyDescent="0.25">
      <c r="A63" s="8" t="s">
        <v>600</v>
      </c>
      <c r="B63" s="8" t="s">
        <v>1057</v>
      </c>
      <c r="C63" s="8">
        <v>0</v>
      </c>
    </row>
    <row r="64" spans="1:3" x14ac:dyDescent="0.25">
      <c r="A64" s="8" t="s">
        <v>136</v>
      </c>
      <c r="B64" s="8" t="s">
        <v>54</v>
      </c>
      <c r="C64" s="8">
        <v>92</v>
      </c>
    </row>
    <row r="65" spans="1:3" x14ac:dyDescent="0.25">
      <c r="A65" s="8" t="s">
        <v>216</v>
      </c>
      <c r="B65" s="8" t="s">
        <v>890</v>
      </c>
      <c r="C65" s="8">
        <v>90</v>
      </c>
    </row>
    <row r="66" spans="1:3" x14ac:dyDescent="0.25">
      <c r="A66" s="8" t="s">
        <v>217</v>
      </c>
      <c r="B66" s="8" t="s">
        <v>61</v>
      </c>
      <c r="C66" s="8">
        <v>90</v>
      </c>
    </row>
    <row r="67" spans="1:3" x14ac:dyDescent="0.25">
      <c r="A67" s="8" t="s">
        <v>686</v>
      </c>
      <c r="B67" s="8" t="s">
        <v>1055</v>
      </c>
      <c r="C67" s="8">
        <v>0</v>
      </c>
    </row>
    <row r="68" spans="1:3" x14ac:dyDescent="0.25">
      <c r="A68" s="8" t="s">
        <v>198</v>
      </c>
      <c r="B68" s="8" t="s">
        <v>45</v>
      </c>
      <c r="C68" s="8">
        <v>13</v>
      </c>
    </row>
    <row r="69" spans="1:3" x14ac:dyDescent="0.25">
      <c r="A69" s="8" t="s">
        <v>155</v>
      </c>
      <c r="B69" s="8" t="s">
        <v>999</v>
      </c>
      <c r="C69" s="8">
        <v>94</v>
      </c>
    </row>
    <row r="70" spans="1:3" x14ac:dyDescent="0.25">
      <c r="A70" s="8" t="s">
        <v>1224</v>
      </c>
      <c r="B70" s="8" t="s">
        <v>1225</v>
      </c>
      <c r="C70" s="8">
        <v>0</v>
      </c>
    </row>
    <row r="71" spans="1:3" x14ac:dyDescent="0.25">
      <c r="A71" s="8" t="s">
        <v>622</v>
      </c>
      <c r="B71" s="8" t="s">
        <v>823</v>
      </c>
      <c r="C71" s="8">
        <v>0</v>
      </c>
    </row>
    <row r="72" spans="1:3" x14ac:dyDescent="0.25">
      <c r="A72" s="8" t="s">
        <v>699</v>
      </c>
      <c r="B72" s="8" t="s">
        <v>1244</v>
      </c>
      <c r="C72" s="8">
        <v>100</v>
      </c>
    </row>
    <row r="73" spans="1:3" x14ac:dyDescent="0.25">
      <c r="A73" s="8" t="s">
        <v>597</v>
      </c>
      <c r="B73" s="8" t="s">
        <v>1165</v>
      </c>
      <c r="C73" s="8">
        <v>100</v>
      </c>
    </row>
    <row r="74" spans="1:3" x14ac:dyDescent="0.25">
      <c r="A74" s="8" t="s">
        <v>218</v>
      </c>
      <c r="B74" s="8" t="s">
        <v>1169</v>
      </c>
      <c r="C74" s="8">
        <v>91</v>
      </c>
    </row>
    <row r="75" spans="1:3" x14ac:dyDescent="0.25">
      <c r="A75" s="8" t="s">
        <v>219</v>
      </c>
      <c r="B75" s="8" t="s">
        <v>1136</v>
      </c>
      <c r="C75" s="8">
        <v>61</v>
      </c>
    </row>
    <row r="76" spans="1:3" x14ac:dyDescent="0.25">
      <c r="A76" s="8" t="s">
        <v>713</v>
      </c>
      <c r="B76" s="8" t="s">
        <v>993</v>
      </c>
      <c r="C76" s="8">
        <v>22</v>
      </c>
    </row>
    <row r="77" spans="1:3" x14ac:dyDescent="0.25">
      <c r="A77" s="8" t="s">
        <v>220</v>
      </c>
      <c r="B77" s="8" t="s">
        <v>110</v>
      </c>
      <c r="C77" s="8">
        <v>100</v>
      </c>
    </row>
    <row r="78" spans="1:3" x14ac:dyDescent="0.25">
      <c r="A78" s="8" t="s">
        <v>221</v>
      </c>
      <c r="B78" s="8" t="s">
        <v>1139</v>
      </c>
      <c r="C78" s="8">
        <v>84</v>
      </c>
    </row>
    <row r="79" spans="1:3" x14ac:dyDescent="0.25">
      <c r="A79" s="8" t="s">
        <v>222</v>
      </c>
      <c r="B79" s="8" t="s">
        <v>50</v>
      </c>
      <c r="C79" s="8">
        <v>85</v>
      </c>
    </row>
    <row r="80" spans="1:3" x14ac:dyDescent="0.25">
      <c r="A80" s="8" t="s">
        <v>546</v>
      </c>
      <c r="B80" s="8" t="s">
        <v>11</v>
      </c>
      <c r="C80" s="8">
        <v>96</v>
      </c>
    </row>
    <row r="81" spans="1:3" x14ac:dyDescent="0.25">
      <c r="A81" s="8" t="s">
        <v>223</v>
      </c>
      <c r="B81" s="8" t="s">
        <v>865</v>
      </c>
      <c r="C81" s="8">
        <v>97</v>
      </c>
    </row>
    <row r="82" spans="1:3" x14ac:dyDescent="0.25">
      <c r="A82" s="8" t="s">
        <v>179</v>
      </c>
      <c r="B82" s="8" t="s">
        <v>79</v>
      </c>
      <c r="C82" s="8">
        <v>100</v>
      </c>
    </row>
    <row r="83" spans="1:3" x14ac:dyDescent="0.25">
      <c r="A83" s="8" t="s">
        <v>541</v>
      </c>
      <c r="B83" s="8" t="s">
        <v>876</v>
      </c>
      <c r="C83" s="8">
        <v>100</v>
      </c>
    </row>
    <row r="84" spans="1:3" x14ac:dyDescent="0.25">
      <c r="A84" s="8" t="s">
        <v>529</v>
      </c>
      <c r="B84" s="8" t="s">
        <v>1123</v>
      </c>
      <c r="C84" s="8">
        <v>96</v>
      </c>
    </row>
    <row r="85" spans="1:3" x14ac:dyDescent="0.25">
      <c r="A85" s="8" t="s">
        <v>224</v>
      </c>
      <c r="B85" s="8" t="s">
        <v>1153</v>
      </c>
      <c r="C85" s="8">
        <v>98</v>
      </c>
    </row>
    <row r="86" spans="1:3" x14ac:dyDescent="0.25">
      <c r="A86" s="8" t="s">
        <v>669</v>
      </c>
      <c r="B86" s="8" t="s">
        <v>860</v>
      </c>
      <c r="C86" s="8">
        <v>0</v>
      </c>
    </row>
    <row r="87" spans="1:3" x14ac:dyDescent="0.25">
      <c r="A87" s="8" t="s">
        <v>225</v>
      </c>
      <c r="B87" s="8" t="s">
        <v>36</v>
      </c>
      <c r="C87" s="8">
        <v>95</v>
      </c>
    </row>
    <row r="88" spans="1:3" x14ac:dyDescent="0.25">
      <c r="A88" s="8" t="s">
        <v>135</v>
      </c>
      <c r="B88" s="8" t="s">
        <v>22</v>
      </c>
      <c r="C88" s="8">
        <v>100</v>
      </c>
    </row>
    <row r="89" spans="1:3" x14ac:dyDescent="0.25">
      <c r="A89" s="8" t="s">
        <v>594</v>
      </c>
      <c r="B89" s="8" t="s">
        <v>791</v>
      </c>
      <c r="C89" s="8">
        <v>0</v>
      </c>
    </row>
    <row r="90" spans="1:3" x14ac:dyDescent="0.25">
      <c r="A90" s="8" t="s">
        <v>586</v>
      </c>
      <c r="B90" s="8" t="s">
        <v>803</v>
      </c>
      <c r="C90" s="8">
        <v>75</v>
      </c>
    </row>
    <row r="91" spans="1:3" x14ac:dyDescent="0.25">
      <c r="A91" s="8" t="s">
        <v>471</v>
      </c>
      <c r="B91" s="8" t="s">
        <v>1061</v>
      </c>
      <c r="C91" s="8">
        <v>90</v>
      </c>
    </row>
    <row r="92" spans="1:3" x14ac:dyDescent="0.25">
      <c r="A92" s="8" t="s">
        <v>645</v>
      </c>
      <c r="B92" s="8" t="s">
        <v>882</v>
      </c>
      <c r="C92" s="8">
        <v>100</v>
      </c>
    </row>
    <row r="93" spans="1:3" x14ac:dyDescent="0.25">
      <c r="A93" s="8" t="s">
        <v>226</v>
      </c>
      <c r="B93" s="8" t="s">
        <v>112</v>
      </c>
      <c r="C93" s="8">
        <v>86</v>
      </c>
    </row>
    <row r="94" spans="1:3" x14ac:dyDescent="0.25">
      <c r="A94" s="8" t="s">
        <v>146</v>
      </c>
      <c r="B94" s="8" t="s">
        <v>102</v>
      </c>
      <c r="C94" s="8">
        <v>89</v>
      </c>
    </row>
    <row r="95" spans="1:3" x14ac:dyDescent="0.25">
      <c r="A95" s="8" t="s">
        <v>490</v>
      </c>
      <c r="B95" s="8" t="s">
        <v>115</v>
      </c>
      <c r="C95" s="8">
        <v>90</v>
      </c>
    </row>
    <row r="96" spans="1:3" x14ac:dyDescent="0.25">
      <c r="A96" s="8" t="s">
        <v>563</v>
      </c>
      <c r="B96" s="8" t="s">
        <v>1108</v>
      </c>
      <c r="C96" s="8">
        <v>100</v>
      </c>
    </row>
    <row r="97" spans="1:3" x14ac:dyDescent="0.25">
      <c r="A97" s="8" t="s">
        <v>227</v>
      </c>
      <c r="B97" s="8" t="s">
        <v>98</v>
      </c>
      <c r="C97" s="8">
        <v>86</v>
      </c>
    </row>
    <row r="98" spans="1:3" x14ac:dyDescent="0.25">
      <c r="A98" s="8" t="s">
        <v>487</v>
      </c>
      <c r="B98" s="8" t="s">
        <v>1182</v>
      </c>
      <c r="C98" s="8">
        <v>93</v>
      </c>
    </row>
    <row r="99" spans="1:3" x14ac:dyDescent="0.25">
      <c r="A99" s="8" t="s">
        <v>228</v>
      </c>
      <c r="B99" s="8" t="s">
        <v>887</v>
      </c>
      <c r="C99" s="8">
        <v>88</v>
      </c>
    </row>
    <row r="100" spans="1:3" x14ac:dyDescent="0.25">
      <c r="A100" s="8" t="s">
        <v>640</v>
      </c>
      <c r="B100" s="8" t="s">
        <v>936</v>
      </c>
      <c r="C100" s="8">
        <v>100</v>
      </c>
    </row>
    <row r="101" spans="1:3" x14ac:dyDescent="0.25">
      <c r="A101" s="8" t="s">
        <v>678</v>
      </c>
      <c r="B101" s="8" t="s">
        <v>879</v>
      </c>
      <c r="C101" s="8">
        <v>50</v>
      </c>
    </row>
    <row r="102" spans="1:3" x14ac:dyDescent="0.25">
      <c r="A102" s="8" t="s">
        <v>708</v>
      </c>
      <c r="B102" s="8" t="s">
        <v>930</v>
      </c>
      <c r="C102" s="8">
        <v>0</v>
      </c>
    </row>
    <row r="103" spans="1:3" x14ac:dyDescent="0.25">
      <c r="A103" s="8" t="s">
        <v>229</v>
      </c>
      <c r="B103" s="8" t="s">
        <v>58</v>
      </c>
      <c r="C103" s="8">
        <v>92</v>
      </c>
    </row>
    <row r="104" spans="1:3" x14ac:dyDescent="0.25">
      <c r="A104" s="8" t="s">
        <v>655</v>
      </c>
      <c r="B104" s="8" t="s">
        <v>1140</v>
      </c>
      <c r="C104" s="8">
        <v>100</v>
      </c>
    </row>
    <row r="105" spans="1:3" x14ac:dyDescent="0.25">
      <c r="A105" s="8" t="s">
        <v>633</v>
      </c>
      <c r="B105" s="8" t="s">
        <v>905</v>
      </c>
      <c r="C105" s="8">
        <v>100</v>
      </c>
    </row>
    <row r="106" spans="1:3" x14ac:dyDescent="0.25">
      <c r="A106" s="8" t="s">
        <v>561</v>
      </c>
      <c r="B106" s="8" t="s">
        <v>912</v>
      </c>
      <c r="C106" s="8">
        <v>0</v>
      </c>
    </row>
    <row r="107" spans="1:3" x14ac:dyDescent="0.25">
      <c r="A107" s="8" t="s">
        <v>533</v>
      </c>
      <c r="B107" s="8" t="s">
        <v>1031</v>
      </c>
      <c r="C107" s="8">
        <v>92</v>
      </c>
    </row>
    <row r="108" spans="1:3" x14ac:dyDescent="0.25">
      <c r="A108" s="8" t="s">
        <v>477</v>
      </c>
      <c r="B108" s="8" t="s">
        <v>896</v>
      </c>
      <c r="C108" s="8">
        <v>92</v>
      </c>
    </row>
    <row r="109" spans="1:3" x14ac:dyDescent="0.25">
      <c r="A109" s="8" t="s">
        <v>711</v>
      </c>
      <c r="B109" s="8" t="s">
        <v>1167</v>
      </c>
      <c r="C109" s="8">
        <v>100</v>
      </c>
    </row>
    <row r="110" spans="1:3" x14ac:dyDescent="0.25">
      <c r="A110" s="8" t="s">
        <v>173</v>
      </c>
      <c r="B110" s="8" t="s">
        <v>1075</v>
      </c>
      <c r="C110" s="8">
        <v>95</v>
      </c>
    </row>
    <row r="111" spans="1:3" x14ac:dyDescent="0.25">
      <c r="A111" s="8" t="s">
        <v>230</v>
      </c>
      <c r="B111" s="8" t="s">
        <v>32</v>
      </c>
      <c r="C111" s="8">
        <v>93</v>
      </c>
    </row>
    <row r="112" spans="1:3" x14ac:dyDescent="0.25">
      <c r="A112" s="8" t="s">
        <v>231</v>
      </c>
      <c r="B112" s="8" t="s">
        <v>28</v>
      </c>
      <c r="C112" s="8">
        <v>91</v>
      </c>
    </row>
    <row r="113" spans="1:3" x14ac:dyDescent="0.25">
      <c r="A113" s="8" t="s">
        <v>184</v>
      </c>
      <c r="B113" s="8" t="s">
        <v>977</v>
      </c>
      <c r="C113" s="8">
        <v>96</v>
      </c>
    </row>
    <row r="114" spans="1:3" x14ac:dyDescent="0.25">
      <c r="A114" s="8" t="s">
        <v>670</v>
      </c>
      <c r="B114" s="8" t="s">
        <v>891</v>
      </c>
      <c r="C114" s="8">
        <v>100</v>
      </c>
    </row>
    <row r="115" spans="1:3" x14ac:dyDescent="0.25">
      <c r="A115" s="8" t="s">
        <v>232</v>
      </c>
      <c r="B115" s="8" t="s">
        <v>756</v>
      </c>
      <c r="C115" s="8">
        <v>78</v>
      </c>
    </row>
    <row r="116" spans="1:3" x14ac:dyDescent="0.25">
      <c r="A116" s="8" t="s">
        <v>559</v>
      </c>
      <c r="B116" s="8" t="s">
        <v>841</v>
      </c>
      <c r="C116" s="8">
        <v>100</v>
      </c>
    </row>
    <row r="117" spans="1:3" x14ac:dyDescent="0.25">
      <c r="A117" s="8" t="s">
        <v>534</v>
      </c>
      <c r="B117" s="8" t="s">
        <v>973</v>
      </c>
      <c r="C117" s="8">
        <v>96</v>
      </c>
    </row>
    <row r="118" spans="1:3" x14ac:dyDescent="0.25">
      <c r="A118" s="8" t="s">
        <v>159</v>
      </c>
      <c r="B118" s="8" t="s">
        <v>1195</v>
      </c>
      <c r="C118" s="8">
        <v>90</v>
      </c>
    </row>
    <row r="119" spans="1:3" x14ac:dyDescent="0.25">
      <c r="A119" s="8" t="s">
        <v>134</v>
      </c>
      <c r="B119" s="8" t="s">
        <v>14</v>
      </c>
      <c r="C119" s="8">
        <v>56</v>
      </c>
    </row>
    <row r="120" spans="1:3" x14ac:dyDescent="0.25">
      <c r="A120" s="8" t="s">
        <v>233</v>
      </c>
      <c r="B120" s="8" t="s">
        <v>19</v>
      </c>
      <c r="C120" s="8">
        <v>86</v>
      </c>
    </row>
    <row r="121" spans="1:3" x14ac:dyDescent="0.25">
      <c r="A121" s="8" t="s">
        <v>133</v>
      </c>
      <c r="B121" s="8" t="s">
        <v>1068</v>
      </c>
      <c r="C121" s="8">
        <v>92</v>
      </c>
    </row>
    <row r="122" spans="1:3" x14ac:dyDescent="0.25">
      <c r="A122" s="8" t="s">
        <v>234</v>
      </c>
      <c r="B122" s="8" t="s">
        <v>76</v>
      </c>
      <c r="C122" s="8">
        <v>87</v>
      </c>
    </row>
    <row r="123" spans="1:3" x14ac:dyDescent="0.25">
      <c r="A123" s="8" t="s">
        <v>235</v>
      </c>
      <c r="B123" s="8" t="s">
        <v>96</v>
      </c>
      <c r="C123" s="8">
        <v>80</v>
      </c>
    </row>
    <row r="124" spans="1:3" x14ac:dyDescent="0.25">
      <c r="A124" s="8" t="s">
        <v>598</v>
      </c>
      <c r="B124" s="8" t="s">
        <v>983</v>
      </c>
      <c r="C124" s="8">
        <v>100</v>
      </c>
    </row>
    <row r="125" spans="1:3" x14ac:dyDescent="0.25">
      <c r="A125" s="8" t="s">
        <v>543</v>
      </c>
      <c r="B125" s="8" t="s">
        <v>97</v>
      </c>
      <c r="C125" s="8">
        <v>53</v>
      </c>
    </row>
    <row r="126" spans="1:3" x14ac:dyDescent="0.25">
      <c r="A126" s="8" t="s">
        <v>236</v>
      </c>
      <c r="B126" s="8" t="s">
        <v>1102</v>
      </c>
      <c r="C126" s="8">
        <v>86</v>
      </c>
    </row>
    <row r="127" spans="1:3" x14ac:dyDescent="0.25">
      <c r="A127" s="8" t="s">
        <v>170</v>
      </c>
      <c r="B127" s="8" t="s">
        <v>1204</v>
      </c>
      <c r="C127" s="8">
        <v>91</v>
      </c>
    </row>
    <row r="128" spans="1:3" x14ac:dyDescent="0.25">
      <c r="A128" s="8" t="s">
        <v>684</v>
      </c>
      <c r="B128" s="8" t="s">
        <v>918</v>
      </c>
      <c r="C128" s="8">
        <v>100</v>
      </c>
    </row>
    <row r="129" spans="1:3" x14ac:dyDescent="0.25">
      <c r="A129" s="8" t="s">
        <v>237</v>
      </c>
      <c r="B129" s="8" t="s">
        <v>43</v>
      </c>
      <c r="C129" s="8">
        <v>96</v>
      </c>
    </row>
    <row r="130" spans="1:3" x14ac:dyDescent="0.25">
      <c r="A130" s="8" t="s">
        <v>646</v>
      </c>
      <c r="B130" s="8" t="s">
        <v>850</v>
      </c>
      <c r="C130" s="8">
        <v>100</v>
      </c>
    </row>
    <row r="131" spans="1:3" x14ac:dyDescent="0.25">
      <c r="A131" s="8" t="s">
        <v>701</v>
      </c>
      <c r="B131" s="8" t="s">
        <v>1202</v>
      </c>
      <c r="C131" s="8">
        <v>0</v>
      </c>
    </row>
    <row r="132" spans="1:3" x14ac:dyDescent="0.25">
      <c r="A132" s="8" t="s">
        <v>238</v>
      </c>
      <c r="B132" s="8" t="s">
        <v>75</v>
      </c>
      <c r="C132" s="8">
        <v>85</v>
      </c>
    </row>
    <row r="133" spans="1:3" x14ac:dyDescent="0.25">
      <c r="A133" s="8" t="s">
        <v>147</v>
      </c>
      <c r="B133" s="8" t="s">
        <v>25</v>
      </c>
      <c r="C133" s="8">
        <v>81</v>
      </c>
    </row>
    <row r="134" spans="1:3" x14ac:dyDescent="0.25">
      <c r="A134" s="8" t="s">
        <v>239</v>
      </c>
      <c r="B134" s="8" t="s">
        <v>935</v>
      </c>
      <c r="C134" s="8">
        <v>63</v>
      </c>
    </row>
    <row r="135" spans="1:3" x14ac:dyDescent="0.25">
      <c r="A135" s="8" t="s">
        <v>491</v>
      </c>
      <c r="B135" s="8" t="s">
        <v>1137</v>
      </c>
      <c r="C135" s="8">
        <v>94</v>
      </c>
    </row>
    <row r="136" spans="1:3" x14ac:dyDescent="0.25">
      <c r="A136" s="8" t="s">
        <v>240</v>
      </c>
      <c r="B136" s="8" t="s">
        <v>1164</v>
      </c>
      <c r="C136" s="8">
        <v>92</v>
      </c>
    </row>
    <row r="137" spans="1:3" x14ac:dyDescent="0.25">
      <c r="A137" s="8" t="s">
        <v>680</v>
      </c>
      <c r="B137" s="8" t="s">
        <v>991</v>
      </c>
      <c r="C137" s="8">
        <v>100</v>
      </c>
    </row>
    <row r="138" spans="1:3" x14ac:dyDescent="0.25">
      <c r="A138" s="8" t="s">
        <v>189</v>
      </c>
      <c r="B138" s="8" t="s">
        <v>1074</v>
      </c>
      <c r="C138" s="8">
        <v>91</v>
      </c>
    </row>
    <row r="139" spans="1:3" x14ac:dyDescent="0.25">
      <c r="A139" s="8" t="s">
        <v>524</v>
      </c>
      <c r="B139" s="8" t="s">
        <v>1046</v>
      </c>
      <c r="C139" s="8">
        <v>90</v>
      </c>
    </row>
    <row r="140" spans="1:3" x14ac:dyDescent="0.25">
      <c r="A140" s="8" t="s">
        <v>671</v>
      </c>
      <c r="B140" s="8" t="s">
        <v>987</v>
      </c>
      <c r="C140" s="8">
        <v>100</v>
      </c>
    </row>
    <row r="141" spans="1:3" x14ac:dyDescent="0.25">
      <c r="A141" s="8" t="s">
        <v>241</v>
      </c>
      <c r="B141" s="8" t="s">
        <v>145</v>
      </c>
      <c r="C141" s="8">
        <v>82</v>
      </c>
    </row>
    <row r="142" spans="1:3" x14ac:dyDescent="0.25">
      <c r="A142" s="8" t="s">
        <v>242</v>
      </c>
      <c r="B142" s="8" t="s">
        <v>84</v>
      </c>
      <c r="C142" s="8">
        <v>97</v>
      </c>
    </row>
    <row r="143" spans="1:3" x14ac:dyDescent="0.25">
      <c r="A143" s="8" t="s">
        <v>148</v>
      </c>
      <c r="B143" s="8" t="s">
        <v>83</v>
      </c>
      <c r="C143" s="8">
        <v>81</v>
      </c>
    </row>
    <row r="144" spans="1:3" x14ac:dyDescent="0.25">
      <c r="A144" s="8" t="s">
        <v>243</v>
      </c>
      <c r="B144" s="8" t="s">
        <v>1129</v>
      </c>
      <c r="C144" s="8">
        <v>100</v>
      </c>
    </row>
    <row r="145" spans="1:3" x14ac:dyDescent="0.25">
      <c r="A145" s="8" t="s">
        <v>166</v>
      </c>
      <c r="B145" s="8" t="s">
        <v>1088</v>
      </c>
      <c r="C145" s="8">
        <v>83</v>
      </c>
    </row>
    <row r="146" spans="1:3" x14ac:dyDescent="0.25">
      <c r="A146" s="8" t="s">
        <v>503</v>
      </c>
      <c r="B146" s="8" t="s">
        <v>1118</v>
      </c>
      <c r="C146" s="8">
        <v>97</v>
      </c>
    </row>
    <row r="147" spans="1:3" x14ac:dyDescent="0.25">
      <c r="A147" s="8" t="s">
        <v>244</v>
      </c>
      <c r="B147" s="8" t="s">
        <v>1043</v>
      </c>
      <c r="C147" s="8">
        <v>92</v>
      </c>
    </row>
    <row r="148" spans="1:3" x14ac:dyDescent="0.25">
      <c r="A148" s="8" t="s">
        <v>660</v>
      </c>
      <c r="B148" s="8" t="s">
        <v>1226</v>
      </c>
      <c r="C148" s="8">
        <v>100</v>
      </c>
    </row>
    <row r="149" spans="1:3" x14ac:dyDescent="0.25">
      <c r="A149" s="8" t="s">
        <v>613</v>
      </c>
      <c r="B149" s="8" t="s">
        <v>815</v>
      </c>
      <c r="C149" s="8">
        <v>100</v>
      </c>
    </row>
    <row r="150" spans="1:3" x14ac:dyDescent="0.25">
      <c r="A150" s="8" t="s">
        <v>693</v>
      </c>
      <c r="B150" s="8" t="s">
        <v>953</v>
      </c>
      <c r="C150" s="8">
        <v>100</v>
      </c>
    </row>
    <row r="151" spans="1:3" x14ac:dyDescent="0.25">
      <c r="A151" s="8" t="s">
        <v>199</v>
      </c>
      <c r="B151" s="8" t="s">
        <v>16</v>
      </c>
      <c r="C151" s="8">
        <v>72</v>
      </c>
    </row>
    <row r="152" spans="1:3" x14ac:dyDescent="0.25">
      <c r="A152" s="8" t="s">
        <v>658</v>
      </c>
      <c r="B152" s="8" t="s">
        <v>885</v>
      </c>
      <c r="C152" s="8">
        <v>100</v>
      </c>
    </row>
    <row r="153" spans="1:3" x14ac:dyDescent="0.25">
      <c r="A153" s="8" t="s">
        <v>132</v>
      </c>
      <c r="B153" s="8" t="s">
        <v>1133</v>
      </c>
      <c r="C153" s="8">
        <v>96</v>
      </c>
    </row>
    <row r="154" spans="1:3" x14ac:dyDescent="0.25">
      <c r="A154" s="8" t="s">
        <v>608</v>
      </c>
      <c r="B154" s="8" t="s">
        <v>1104</v>
      </c>
      <c r="C154" s="8">
        <v>0</v>
      </c>
    </row>
    <row r="155" spans="1:3" x14ac:dyDescent="0.25">
      <c r="A155" s="8" t="s">
        <v>647</v>
      </c>
      <c r="B155" s="8" t="s">
        <v>956</v>
      </c>
      <c r="C155" s="8">
        <v>100</v>
      </c>
    </row>
    <row r="156" spans="1:3" x14ac:dyDescent="0.25">
      <c r="A156" s="8" t="s">
        <v>194</v>
      </c>
      <c r="B156" s="8" t="s">
        <v>1157</v>
      </c>
      <c r="C156" s="8">
        <v>100</v>
      </c>
    </row>
    <row r="157" spans="1:3" x14ac:dyDescent="0.25">
      <c r="A157" s="8" t="s">
        <v>245</v>
      </c>
      <c r="B157" s="8" t="s">
        <v>1038</v>
      </c>
      <c r="C157" s="8">
        <v>97</v>
      </c>
    </row>
    <row r="158" spans="1:3" x14ac:dyDescent="0.25">
      <c r="A158" s="8" t="s">
        <v>131</v>
      </c>
      <c r="B158" s="8" t="s">
        <v>1034</v>
      </c>
      <c r="C158" s="8">
        <v>96</v>
      </c>
    </row>
    <row r="159" spans="1:3" x14ac:dyDescent="0.25">
      <c r="A159" s="8" t="s">
        <v>489</v>
      </c>
      <c r="B159" s="8" t="s">
        <v>1163</v>
      </c>
      <c r="C159" s="8">
        <v>91</v>
      </c>
    </row>
    <row r="160" spans="1:3" x14ac:dyDescent="0.25">
      <c r="A160" s="8" t="s">
        <v>714</v>
      </c>
      <c r="B160" s="8" t="s">
        <v>893</v>
      </c>
      <c r="C160" s="8">
        <v>0</v>
      </c>
    </row>
    <row r="161" spans="1:3" x14ac:dyDescent="0.25">
      <c r="A161" s="8" t="s">
        <v>130</v>
      </c>
      <c r="B161" s="8" t="s">
        <v>1087</v>
      </c>
      <c r="C161" s="8">
        <v>93</v>
      </c>
    </row>
    <row r="162" spans="1:3" x14ac:dyDescent="0.25">
      <c r="A162" s="8" t="s">
        <v>246</v>
      </c>
      <c r="B162" s="8" t="s">
        <v>934</v>
      </c>
      <c r="C162" s="8">
        <v>93</v>
      </c>
    </row>
    <row r="163" spans="1:3" x14ac:dyDescent="0.25">
      <c r="A163" s="8" t="s">
        <v>650</v>
      </c>
      <c r="B163" s="8" t="s">
        <v>873</v>
      </c>
      <c r="C163" s="8">
        <v>0</v>
      </c>
    </row>
    <row r="164" spans="1:3" x14ac:dyDescent="0.25">
      <c r="A164" s="8" t="s">
        <v>556</v>
      </c>
      <c r="B164" s="8" t="s">
        <v>933</v>
      </c>
      <c r="C164" s="8">
        <v>0</v>
      </c>
    </row>
    <row r="165" spans="1:3" x14ac:dyDescent="0.25">
      <c r="A165" s="8" t="s">
        <v>247</v>
      </c>
      <c r="B165" s="8" t="s">
        <v>998</v>
      </c>
      <c r="C165" s="8">
        <v>83</v>
      </c>
    </row>
    <row r="166" spans="1:3" x14ac:dyDescent="0.25">
      <c r="A166" s="8" t="s">
        <v>518</v>
      </c>
      <c r="B166" s="8" t="s">
        <v>1162</v>
      </c>
      <c r="C166" s="8">
        <v>96</v>
      </c>
    </row>
    <row r="167" spans="1:3" x14ac:dyDescent="0.25">
      <c r="A167" s="8" t="s">
        <v>667</v>
      </c>
      <c r="B167" s="8" t="s">
        <v>1227</v>
      </c>
      <c r="C167" s="8">
        <v>100</v>
      </c>
    </row>
    <row r="168" spans="1:3" x14ac:dyDescent="0.25">
      <c r="A168" s="8" t="s">
        <v>508</v>
      </c>
      <c r="B168" s="8" t="s">
        <v>34</v>
      </c>
      <c r="C168" s="8">
        <v>91</v>
      </c>
    </row>
    <row r="169" spans="1:3" x14ac:dyDescent="0.25">
      <c r="A169" s="8" t="s">
        <v>248</v>
      </c>
      <c r="B169" s="8" t="s">
        <v>1033</v>
      </c>
      <c r="C169" s="8">
        <v>90</v>
      </c>
    </row>
    <row r="170" spans="1:3" x14ac:dyDescent="0.25">
      <c r="A170" s="8" t="s">
        <v>499</v>
      </c>
      <c r="B170" s="8" t="s">
        <v>113</v>
      </c>
      <c r="C170" s="8">
        <v>100</v>
      </c>
    </row>
    <row r="171" spans="1:3" x14ac:dyDescent="0.25">
      <c r="A171" s="8" t="s">
        <v>249</v>
      </c>
      <c r="B171" s="8" t="s">
        <v>1037</v>
      </c>
      <c r="C171" s="8">
        <v>100</v>
      </c>
    </row>
    <row r="172" spans="1:3" x14ac:dyDescent="0.25">
      <c r="A172" s="8" t="s">
        <v>193</v>
      </c>
      <c r="B172" s="8" t="s">
        <v>1216</v>
      </c>
      <c r="C172" s="8">
        <v>86</v>
      </c>
    </row>
    <row r="173" spans="1:3" x14ac:dyDescent="0.25">
      <c r="A173" s="8" t="s">
        <v>250</v>
      </c>
      <c r="B173" s="8" t="s">
        <v>70</v>
      </c>
      <c r="C173" s="8">
        <v>89</v>
      </c>
    </row>
    <row r="174" spans="1:3" x14ac:dyDescent="0.25">
      <c r="A174" s="8" t="s">
        <v>486</v>
      </c>
      <c r="B174" s="8" t="s">
        <v>844</v>
      </c>
      <c r="C174" s="8">
        <v>94</v>
      </c>
    </row>
    <row r="175" spans="1:3" x14ac:dyDescent="0.25">
      <c r="A175" s="8" t="s">
        <v>521</v>
      </c>
      <c r="B175" s="8" t="s">
        <v>1116</v>
      </c>
      <c r="C175" s="8">
        <v>100</v>
      </c>
    </row>
    <row r="176" spans="1:3" x14ac:dyDescent="0.25">
      <c r="A176" s="8" t="s">
        <v>685</v>
      </c>
      <c r="B176" s="8" t="s">
        <v>1041</v>
      </c>
      <c r="C176" s="8">
        <v>0</v>
      </c>
    </row>
    <row r="177" spans="1:3" x14ac:dyDescent="0.25">
      <c r="A177" s="8" t="s">
        <v>182</v>
      </c>
      <c r="B177" s="8" t="s">
        <v>978</v>
      </c>
      <c r="C177" s="8">
        <v>100</v>
      </c>
    </row>
    <row r="178" spans="1:3" x14ac:dyDescent="0.25">
      <c r="A178" s="8" t="s">
        <v>720</v>
      </c>
      <c r="B178" s="8" t="s">
        <v>1228</v>
      </c>
      <c r="C178" s="8">
        <v>0</v>
      </c>
    </row>
    <row r="179" spans="1:3" x14ac:dyDescent="0.25">
      <c r="A179" s="8" t="s">
        <v>251</v>
      </c>
      <c r="B179" s="8" t="s">
        <v>1115</v>
      </c>
      <c r="C179" s="8">
        <v>89</v>
      </c>
    </row>
    <row r="180" spans="1:3" x14ac:dyDescent="0.25">
      <c r="A180" s="8" t="s">
        <v>162</v>
      </c>
      <c r="B180" s="8" t="s">
        <v>121</v>
      </c>
      <c r="C180" s="8">
        <v>95</v>
      </c>
    </row>
    <row r="181" spans="1:3" x14ac:dyDescent="0.25">
      <c r="A181" s="8" t="s">
        <v>722</v>
      </c>
      <c r="B181" s="8" t="s">
        <v>829</v>
      </c>
      <c r="C181" s="8">
        <v>0</v>
      </c>
    </row>
    <row r="182" spans="1:3" x14ac:dyDescent="0.25">
      <c r="A182" s="8" t="s">
        <v>183</v>
      </c>
      <c r="B182" s="8" t="s">
        <v>78</v>
      </c>
      <c r="C182" s="8">
        <v>97</v>
      </c>
    </row>
    <row r="183" spans="1:3" x14ac:dyDescent="0.25">
      <c r="A183" s="8" t="s">
        <v>723</v>
      </c>
      <c r="B183" s="8" t="s">
        <v>971</v>
      </c>
      <c r="C183" s="8">
        <v>100</v>
      </c>
    </row>
    <row r="184" spans="1:3" x14ac:dyDescent="0.25">
      <c r="A184" s="8" t="s">
        <v>651</v>
      </c>
      <c r="B184" s="8" t="s">
        <v>868</v>
      </c>
      <c r="C184" s="8">
        <v>100</v>
      </c>
    </row>
    <row r="185" spans="1:3" x14ac:dyDescent="0.25">
      <c r="A185" s="8" t="s">
        <v>530</v>
      </c>
      <c r="B185" s="8" t="s">
        <v>1096</v>
      </c>
      <c r="C185" s="8">
        <v>95</v>
      </c>
    </row>
    <row r="186" spans="1:3" x14ac:dyDescent="0.25">
      <c r="A186" s="8" t="s">
        <v>661</v>
      </c>
      <c r="B186" s="8" t="s">
        <v>849</v>
      </c>
      <c r="C186" s="8">
        <v>50</v>
      </c>
    </row>
    <row r="187" spans="1:3" x14ac:dyDescent="0.25">
      <c r="A187" s="8" t="s">
        <v>659</v>
      </c>
      <c r="B187" s="8" t="s">
        <v>996</v>
      </c>
      <c r="C187" s="8">
        <v>100</v>
      </c>
    </row>
    <row r="188" spans="1:3" x14ac:dyDescent="0.25">
      <c r="A188" s="8" t="s">
        <v>474</v>
      </c>
      <c r="B188" s="8" t="s">
        <v>105</v>
      </c>
      <c r="C188" s="8">
        <v>93</v>
      </c>
    </row>
    <row r="189" spans="1:3" x14ac:dyDescent="0.25">
      <c r="A189" s="8" t="s">
        <v>665</v>
      </c>
      <c r="B189" s="8" t="s">
        <v>1003</v>
      </c>
      <c r="C189" s="8">
        <v>0</v>
      </c>
    </row>
    <row r="190" spans="1:3" x14ac:dyDescent="0.25">
      <c r="A190" s="8" t="s">
        <v>593</v>
      </c>
      <c r="B190" s="8" t="s">
        <v>965</v>
      </c>
      <c r="C190" s="8">
        <v>25</v>
      </c>
    </row>
    <row r="191" spans="1:3" x14ac:dyDescent="0.25">
      <c r="A191" s="8" t="s">
        <v>620</v>
      </c>
      <c r="B191" s="8" t="s">
        <v>990</v>
      </c>
      <c r="C191" s="8">
        <v>0</v>
      </c>
    </row>
    <row r="192" spans="1:3" x14ac:dyDescent="0.25">
      <c r="A192" s="8" t="s">
        <v>666</v>
      </c>
      <c r="B192" s="8" t="s">
        <v>894</v>
      </c>
      <c r="C192" s="8">
        <v>0</v>
      </c>
    </row>
    <row r="193" spans="1:3" x14ac:dyDescent="0.25">
      <c r="A193" s="8" t="s">
        <v>167</v>
      </c>
      <c r="B193" s="8" t="s">
        <v>47</v>
      </c>
      <c r="C193" s="8">
        <v>89</v>
      </c>
    </row>
    <row r="194" spans="1:3" x14ac:dyDescent="0.25">
      <c r="A194" s="8" t="s">
        <v>721</v>
      </c>
      <c r="B194" s="8" t="s">
        <v>972</v>
      </c>
      <c r="C194" s="8">
        <v>0</v>
      </c>
    </row>
    <row r="195" spans="1:3" x14ac:dyDescent="0.25">
      <c r="A195" s="8" t="s">
        <v>587</v>
      </c>
      <c r="B195" s="8" t="s">
        <v>909</v>
      </c>
      <c r="C195" s="8">
        <v>0</v>
      </c>
    </row>
    <row r="196" spans="1:3" x14ac:dyDescent="0.25">
      <c r="A196" s="8" t="s">
        <v>252</v>
      </c>
      <c r="B196" s="8" t="s">
        <v>1156</v>
      </c>
      <c r="C196" s="8">
        <v>78</v>
      </c>
    </row>
    <row r="197" spans="1:3" x14ac:dyDescent="0.25">
      <c r="A197" s="8" t="s">
        <v>129</v>
      </c>
      <c r="B197" s="8" t="s">
        <v>1229</v>
      </c>
      <c r="C197" s="8">
        <v>0</v>
      </c>
    </row>
    <row r="198" spans="1:3" x14ac:dyDescent="0.25">
      <c r="A198" s="8" t="s">
        <v>190</v>
      </c>
      <c r="B198" s="8" t="s">
        <v>1193</v>
      </c>
      <c r="C198" s="8">
        <v>87</v>
      </c>
    </row>
    <row r="199" spans="1:3" x14ac:dyDescent="0.25">
      <c r="A199" s="8" t="s">
        <v>253</v>
      </c>
      <c r="B199" s="8" t="s">
        <v>1171</v>
      </c>
      <c r="C199" s="8">
        <v>93</v>
      </c>
    </row>
    <row r="200" spans="1:3" x14ac:dyDescent="0.25">
      <c r="A200" s="8" t="s">
        <v>638</v>
      </c>
      <c r="B200" s="8" t="s">
        <v>847</v>
      </c>
      <c r="C200" s="8">
        <v>50</v>
      </c>
    </row>
    <row r="201" spans="1:3" x14ac:dyDescent="0.25">
      <c r="A201" s="8" t="s">
        <v>580</v>
      </c>
      <c r="B201" s="8" t="s">
        <v>852</v>
      </c>
      <c r="C201" s="8">
        <v>100</v>
      </c>
    </row>
    <row r="202" spans="1:3" x14ac:dyDescent="0.25">
      <c r="A202" s="8" t="s">
        <v>614</v>
      </c>
      <c r="B202" s="8" t="s">
        <v>888</v>
      </c>
      <c r="C202" s="8">
        <v>0</v>
      </c>
    </row>
    <row r="203" spans="1:3" x14ac:dyDescent="0.25">
      <c r="A203" s="8" t="s">
        <v>44</v>
      </c>
      <c r="B203" s="8" t="s">
        <v>44</v>
      </c>
      <c r="C203" s="8">
        <v>100</v>
      </c>
    </row>
    <row r="204" spans="1:3" x14ac:dyDescent="0.25">
      <c r="A204" s="8" t="s">
        <v>578</v>
      </c>
      <c r="B204" s="8" t="s">
        <v>961</v>
      </c>
      <c r="C204" s="8">
        <v>0</v>
      </c>
    </row>
    <row r="205" spans="1:3" x14ac:dyDescent="0.25">
      <c r="A205" s="8" t="s">
        <v>522</v>
      </c>
      <c r="B205" s="8" t="s">
        <v>1184</v>
      </c>
      <c r="C205" s="8">
        <v>89</v>
      </c>
    </row>
    <row r="206" spans="1:3" x14ac:dyDescent="0.25">
      <c r="A206" s="8" t="s">
        <v>128</v>
      </c>
      <c r="B206" s="8" t="s">
        <v>1160</v>
      </c>
      <c r="C206" s="8">
        <v>95</v>
      </c>
    </row>
    <row r="207" spans="1:3" x14ac:dyDescent="0.25">
      <c r="A207" s="8" t="s">
        <v>602</v>
      </c>
      <c r="B207" s="8" t="s">
        <v>816</v>
      </c>
      <c r="C207" s="8">
        <v>100</v>
      </c>
    </row>
    <row r="208" spans="1:3" x14ac:dyDescent="0.25">
      <c r="A208" s="8" t="s">
        <v>681</v>
      </c>
      <c r="B208" s="8" t="s">
        <v>859</v>
      </c>
      <c r="C208" s="8">
        <v>100</v>
      </c>
    </row>
    <row r="209" spans="1:3" x14ac:dyDescent="0.25">
      <c r="A209" s="8" t="s">
        <v>576</v>
      </c>
      <c r="B209" s="8" t="s">
        <v>1014</v>
      </c>
      <c r="C209" s="8">
        <v>0</v>
      </c>
    </row>
    <row r="210" spans="1:3" x14ac:dyDescent="0.25">
      <c r="A210" s="8" t="s">
        <v>254</v>
      </c>
      <c r="B210" s="8" t="s">
        <v>962</v>
      </c>
      <c r="C210" s="8">
        <v>95</v>
      </c>
    </row>
    <row r="211" spans="1:3" x14ac:dyDescent="0.25">
      <c r="A211" s="8" t="s">
        <v>255</v>
      </c>
      <c r="B211" s="8" t="s">
        <v>1053</v>
      </c>
      <c r="C211" s="8">
        <v>100</v>
      </c>
    </row>
    <row r="212" spans="1:3" x14ac:dyDescent="0.25">
      <c r="A212" s="8" t="s">
        <v>691</v>
      </c>
      <c r="B212" s="8" t="s">
        <v>1086</v>
      </c>
      <c r="C212" s="8">
        <v>100</v>
      </c>
    </row>
    <row r="213" spans="1:3" x14ac:dyDescent="0.25">
      <c r="A213" s="8" t="s">
        <v>156</v>
      </c>
      <c r="B213" s="8" t="s">
        <v>64</v>
      </c>
      <c r="C213" s="8">
        <v>0</v>
      </c>
    </row>
    <row r="214" spans="1:3" x14ac:dyDescent="0.25">
      <c r="A214" s="8" t="s">
        <v>643</v>
      </c>
      <c r="B214" s="8" t="s">
        <v>949</v>
      </c>
      <c r="C214" s="8">
        <v>100</v>
      </c>
    </row>
    <row r="215" spans="1:3" x14ac:dyDescent="0.25">
      <c r="A215" s="8" t="s">
        <v>718</v>
      </c>
      <c r="B215" s="8" t="s">
        <v>1029</v>
      </c>
      <c r="C215" s="8">
        <v>50</v>
      </c>
    </row>
    <row r="216" spans="1:3" x14ac:dyDescent="0.25">
      <c r="A216" s="8" t="s">
        <v>560</v>
      </c>
      <c r="B216" s="8" t="s">
        <v>839</v>
      </c>
      <c r="C216" s="8">
        <v>50</v>
      </c>
    </row>
    <row r="217" spans="1:3" x14ac:dyDescent="0.25">
      <c r="A217" s="8" t="s">
        <v>656</v>
      </c>
      <c r="B217" s="37" t="s">
        <v>763</v>
      </c>
      <c r="C217" s="8">
        <v>0</v>
      </c>
    </row>
    <row r="218" spans="1:3" x14ac:dyDescent="0.25">
      <c r="A218" s="8" t="s">
        <v>475</v>
      </c>
      <c r="B218" s="8" t="s">
        <v>920</v>
      </c>
      <c r="C218" s="8">
        <v>100</v>
      </c>
    </row>
    <row r="219" spans="1:3" x14ac:dyDescent="0.25">
      <c r="A219" s="8" t="s">
        <v>256</v>
      </c>
      <c r="B219" s="8" t="s">
        <v>921</v>
      </c>
      <c r="C219" s="8">
        <v>60</v>
      </c>
    </row>
    <row r="220" spans="1:3" x14ac:dyDescent="0.25">
      <c r="A220" s="8" t="s">
        <v>519</v>
      </c>
      <c r="B220" s="8" t="s">
        <v>1092</v>
      </c>
      <c r="C220" s="8">
        <v>91</v>
      </c>
    </row>
    <row r="221" spans="1:3" x14ac:dyDescent="0.25">
      <c r="A221" s="8" t="s">
        <v>516</v>
      </c>
      <c r="B221" s="8" t="s">
        <v>1024</v>
      </c>
      <c r="C221" s="8">
        <v>86</v>
      </c>
    </row>
    <row r="222" spans="1:3" x14ac:dyDescent="0.25">
      <c r="A222" s="8" t="s">
        <v>634</v>
      </c>
      <c r="B222" s="8" t="s">
        <v>832</v>
      </c>
      <c r="C222" s="8">
        <v>100</v>
      </c>
    </row>
    <row r="223" spans="1:3" x14ac:dyDescent="0.25">
      <c r="A223" s="8" t="s">
        <v>652</v>
      </c>
      <c r="B223" s="8" t="s">
        <v>1091</v>
      </c>
      <c r="C223" s="8">
        <v>73</v>
      </c>
    </row>
    <row r="224" spans="1:3" x14ac:dyDescent="0.25">
      <c r="A224" s="8" t="s">
        <v>257</v>
      </c>
      <c r="B224" s="8" t="s">
        <v>937</v>
      </c>
      <c r="C224" s="8">
        <v>93</v>
      </c>
    </row>
    <row r="225" spans="1:3" x14ac:dyDescent="0.25">
      <c r="A225" s="8" t="s">
        <v>258</v>
      </c>
      <c r="B225" s="37" t="s">
        <v>975</v>
      </c>
      <c r="C225" s="37">
        <v>84</v>
      </c>
    </row>
    <row r="226" spans="1:3" x14ac:dyDescent="0.25">
      <c r="A226" s="8" t="s">
        <v>542</v>
      </c>
      <c r="B226" s="8" t="s">
        <v>106</v>
      </c>
      <c r="C226" s="8">
        <v>100</v>
      </c>
    </row>
    <row r="227" spans="1:3" x14ac:dyDescent="0.25">
      <c r="A227" s="8" t="s">
        <v>607</v>
      </c>
      <c r="B227" s="8" t="s">
        <v>1047</v>
      </c>
      <c r="C227" s="8">
        <v>0</v>
      </c>
    </row>
    <row r="228" spans="1:3" x14ac:dyDescent="0.25">
      <c r="A228" s="8" t="s">
        <v>259</v>
      </c>
      <c r="B228" s="8" t="s">
        <v>89</v>
      </c>
      <c r="C228" s="8">
        <v>92</v>
      </c>
    </row>
    <row r="229" spans="1:3" x14ac:dyDescent="0.25">
      <c r="A229" s="8" t="s">
        <v>512</v>
      </c>
      <c r="B229" s="8" t="s">
        <v>974</v>
      </c>
      <c r="C229" s="8">
        <v>92</v>
      </c>
    </row>
    <row r="230" spans="1:3" x14ac:dyDescent="0.25">
      <c r="A230" s="8" t="s">
        <v>478</v>
      </c>
      <c r="B230" s="8" t="s">
        <v>1028</v>
      </c>
      <c r="C230" s="8">
        <v>93</v>
      </c>
    </row>
    <row r="231" spans="1:3" x14ac:dyDescent="0.25">
      <c r="A231" s="8" t="s">
        <v>500</v>
      </c>
      <c r="B231" s="8" t="s">
        <v>1145</v>
      </c>
      <c r="C231" s="8">
        <v>91</v>
      </c>
    </row>
    <row r="232" spans="1:3" x14ac:dyDescent="0.25">
      <c r="A232" s="8" t="s">
        <v>523</v>
      </c>
      <c r="B232" s="8" t="s">
        <v>33</v>
      </c>
      <c r="C232" s="8">
        <v>87</v>
      </c>
    </row>
    <row r="233" spans="1:3" x14ac:dyDescent="0.25">
      <c r="A233" s="8" t="s">
        <v>260</v>
      </c>
      <c r="B233" s="8" t="s">
        <v>1083</v>
      </c>
      <c r="C233" s="8">
        <v>97</v>
      </c>
    </row>
    <row r="234" spans="1:3" x14ac:dyDescent="0.25">
      <c r="A234" s="8" t="s">
        <v>566</v>
      </c>
      <c r="B234" s="8" t="s">
        <v>793</v>
      </c>
      <c r="C234" s="8">
        <v>0</v>
      </c>
    </row>
    <row r="235" spans="1:3" x14ac:dyDescent="0.25">
      <c r="A235" s="8" t="s">
        <v>579</v>
      </c>
      <c r="B235" s="8" t="s">
        <v>1197</v>
      </c>
      <c r="C235" s="8">
        <v>50</v>
      </c>
    </row>
    <row r="236" spans="1:3" x14ac:dyDescent="0.25">
      <c r="A236" s="8" t="s">
        <v>696</v>
      </c>
      <c r="B236" s="37" t="s">
        <v>916</v>
      </c>
      <c r="C236" s="37">
        <v>100</v>
      </c>
    </row>
    <row r="237" spans="1:3" x14ac:dyDescent="0.25">
      <c r="A237" s="8" t="s">
        <v>163</v>
      </c>
      <c r="B237" s="8" t="s">
        <v>1134</v>
      </c>
      <c r="C237" s="8">
        <v>97</v>
      </c>
    </row>
    <row r="238" spans="1:3" x14ac:dyDescent="0.25">
      <c r="A238" s="8" t="s">
        <v>653</v>
      </c>
      <c r="B238" s="8" t="s">
        <v>1103</v>
      </c>
      <c r="C238" s="8">
        <v>75</v>
      </c>
    </row>
    <row r="239" spans="1:3" x14ac:dyDescent="0.25">
      <c r="A239" s="8" t="s">
        <v>706</v>
      </c>
      <c r="B239" s="8" t="s">
        <v>979</v>
      </c>
      <c r="C239" s="8">
        <v>100</v>
      </c>
    </row>
    <row r="240" spans="1:3" x14ac:dyDescent="0.25">
      <c r="A240" s="8" t="s">
        <v>509</v>
      </c>
      <c r="B240" s="8" t="s">
        <v>1044</v>
      </c>
      <c r="C240" s="8">
        <v>89</v>
      </c>
    </row>
    <row r="241" spans="1:3" x14ac:dyDescent="0.25">
      <c r="A241" s="8" t="s">
        <v>707</v>
      </c>
      <c r="B241" s="8" t="s">
        <v>1230</v>
      </c>
      <c r="C241" s="8">
        <v>0</v>
      </c>
    </row>
    <row r="242" spans="1:3" x14ac:dyDescent="0.25">
      <c r="A242" s="8" t="s">
        <v>127</v>
      </c>
      <c r="B242" s="8" t="s">
        <v>88</v>
      </c>
      <c r="C242" s="8">
        <v>2</v>
      </c>
    </row>
    <row r="243" spans="1:3" x14ac:dyDescent="0.25">
      <c r="A243" s="8" t="s">
        <v>261</v>
      </c>
      <c r="B243" s="8" t="s">
        <v>95</v>
      </c>
      <c r="C243" s="8">
        <v>100</v>
      </c>
    </row>
    <row r="244" spans="1:3" x14ac:dyDescent="0.25">
      <c r="A244" s="8" t="s">
        <v>262</v>
      </c>
      <c r="B244" s="8" t="s">
        <v>116</v>
      </c>
      <c r="C244" s="8">
        <v>92</v>
      </c>
    </row>
    <row r="245" spans="1:3" x14ac:dyDescent="0.25">
      <c r="A245" s="8" t="s">
        <v>263</v>
      </c>
      <c r="B245" s="8" t="s">
        <v>1022</v>
      </c>
      <c r="C245" s="8">
        <v>90</v>
      </c>
    </row>
    <row r="246" spans="1:3" x14ac:dyDescent="0.25">
      <c r="A246" s="8" t="s">
        <v>592</v>
      </c>
      <c r="B246" s="8" t="s">
        <v>1150</v>
      </c>
      <c r="C246" s="8">
        <v>100</v>
      </c>
    </row>
    <row r="247" spans="1:3" x14ac:dyDescent="0.25">
      <c r="A247" s="8" t="s">
        <v>481</v>
      </c>
      <c r="B247" s="8" t="s">
        <v>1175</v>
      </c>
      <c r="C247" s="8">
        <v>93</v>
      </c>
    </row>
    <row r="248" spans="1:3" x14ac:dyDescent="0.25">
      <c r="A248" s="8" t="s">
        <v>200</v>
      </c>
      <c r="B248" s="8" t="s">
        <v>1178</v>
      </c>
      <c r="C248" s="8">
        <v>69</v>
      </c>
    </row>
    <row r="249" spans="1:3" x14ac:dyDescent="0.25">
      <c r="A249" s="8" t="s">
        <v>574</v>
      </c>
      <c r="B249" s="8" t="s">
        <v>883</v>
      </c>
      <c r="C249" s="8">
        <v>70</v>
      </c>
    </row>
    <row r="250" spans="1:3" x14ac:dyDescent="0.25">
      <c r="A250" s="8" t="s">
        <v>264</v>
      </c>
      <c r="B250" s="8" t="s">
        <v>1004</v>
      </c>
      <c r="C250" s="8">
        <v>85</v>
      </c>
    </row>
    <row r="251" spans="1:3" x14ac:dyDescent="0.25">
      <c r="A251" s="8" t="s">
        <v>712</v>
      </c>
      <c r="B251" s="8" t="s">
        <v>861</v>
      </c>
      <c r="C251" s="8">
        <v>50</v>
      </c>
    </row>
    <row r="252" spans="1:3" x14ac:dyDescent="0.25">
      <c r="A252" s="8" t="s">
        <v>504</v>
      </c>
      <c r="B252" s="8" t="s">
        <v>90</v>
      </c>
      <c r="C252" s="8">
        <v>92</v>
      </c>
    </row>
    <row r="253" spans="1:3" x14ac:dyDescent="0.25">
      <c r="A253" s="8" t="s">
        <v>692</v>
      </c>
      <c r="B253" s="8" t="s">
        <v>789</v>
      </c>
      <c r="C253" s="8">
        <v>0</v>
      </c>
    </row>
    <row r="254" spans="1:3" x14ac:dyDescent="0.25">
      <c r="A254" s="8" t="s">
        <v>484</v>
      </c>
      <c r="B254" s="8" t="s">
        <v>1001</v>
      </c>
      <c r="C254" s="8">
        <v>100</v>
      </c>
    </row>
    <row r="255" spans="1:3" x14ac:dyDescent="0.25">
      <c r="A255" s="8" t="s">
        <v>265</v>
      </c>
      <c r="B255" s="8" t="s">
        <v>1155</v>
      </c>
      <c r="C255" s="8">
        <v>91</v>
      </c>
    </row>
    <row r="256" spans="1:3" x14ac:dyDescent="0.25">
      <c r="A256" s="8" t="s">
        <v>599</v>
      </c>
      <c r="B256" s="8" t="s">
        <v>1119</v>
      </c>
      <c r="C256" s="8">
        <v>28</v>
      </c>
    </row>
    <row r="257" spans="1:3" x14ac:dyDescent="0.25">
      <c r="A257" s="8" t="s">
        <v>151</v>
      </c>
      <c r="B257" s="8" t="s">
        <v>69</v>
      </c>
      <c r="C257" s="8">
        <v>74</v>
      </c>
    </row>
    <row r="258" spans="1:3" x14ac:dyDescent="0.25">
      <c r="A258" s="8" t="s">
        <v>649</v>
      </c>
      <c r="B258" s="8" t="s">
        <v>903</v>
      </c>
      <c r="C258" s="8">
        <v>0</v>
      </c>
    </row>
    <row r="259" spans="1:3" x14ac:dyDescent="0.25">
      <c r="A259" s="8" t="s">
        <v>616</v>
      </c>
      <c r="B259" s="8" t="s">
        <v>795</v>
      </c>
      <c r="C259" s="8">
        <v>0</v>
      </c>
    </row>
    <row r="260" spans="1:3" x14ac:dyDescent="0.25">
      <c r="A260" s="8" t="s">
        <v>266</v>
      </c>
      <c r="B260" s="8" t="s">
        <v>99</v>
      </c>
      <c r="C260" s="8">
        <v>100</v>
      </c>
    </row>
    <row r="261" spans="1:3" x14ac:dyDescent="0.25">
      <c r="A261" s="8" t="s">
        <v>267</v>
      </c>
      <c r="B261" s="8" t="s">
        <v>755</v>
      </c>
      <c r="C261" s="8">
        <v>94</v>
      </c>
    </row>
    <row r="262" spans="1:3" x14ac:dyDescent="0.25">
      <c r="A262" s="8" t="s">
        <v>631</v>
      </c>
      <c r="B262" s="8" t="s">
        <v>788</v>
      </c>
      <c r="C262" s="8">
        <v>100</v>
      </c>
    </row>
    <row r="263" spans="1:3" x14ac:dyDescent="0.25">
      <c r="A263" s="8" t="s">
        <v>510</v>
      </c>
      <c r="B263" s="8" t="s">
        <v>959</v>
      </c>
      <c r="C263" s="8">
        <v>98</v>
      </c>
    </row>
    <row r="264" spans="1:3" x14ac:dyDescent="0.25">
      <c r="A264" s="8" t="s">
        <v>584</v>
      </c>
      <c r="B264" s="8" t="s">
        <v>863</v>
      </c>
      <c r="C264" s="8">
        <v>70</v>
      </c>
    </row>
    <row r="265" spans="1:3" x14ac:dyDescent="0.25">
      <c r="A265" s="8" t="s">
        <v>469</v>
      </c>
      <c r="B265" s="8" t="s">
        <v>87</v>
      </c>
      <c r="C265" s="8">
        <v>94</v>
      </c>
    </row>
    <row r="266" spans="1:3" x14ac:dyDescent="0.25">
      <c r="A266" s="8" t="s">
        <v>544</v>
      </c>
      <c r="B266" s="8" t="s">
        <v>1198</v>
      </c>
      <c r="C266" s="8">
        <v>91</v>
      </c>
    </row>
    <row r="267" spans="1:3" x14ac:dyDescent="0.25">
      <c r="A267" s="8" t="s">
        <v>164</v>
      </c>
      <c r="B267" s="8" t="s">
        <v>1025</v>
      </c>
      <c r="C267" s="8">
        <v>92</v>
      </c>
    </row>
    <row r="268" spans="1:3" x14ac:dyDescent="0.25">
      <c r="A268" s="8" t="s">
        <v>617</v>
      </c>
      <c r="B268" s="8" t="s">
        <v>1111</v>
      </c>
      <c r="C268" s="8">
        <v>100</v>
      </c>
    </row>
    <row r="269" spans="1:3" x14ac:dyDescent="0.25">
      <c r="A269" s="8" t="s">
        <v>527</v>
      </c>
      <c r="B269" s="8" t="s">
        <v>1069</v>
      </c>
      <c r="C269" s="8">
        <v>80</v>
      </c>
    </row>
    <row r="270" spans="1:3" x14ac:dyDescent="0.25">
      <c r="A270" s="8" t="s">
        <v>1231</v>
      </c>
      <c r="B270" s="8" t="s">
        <v>1211</v>
      </c>
      <c r="C270" s="8">
        <v>0</v>
      </c>
    </row>
    <row r="271" spans="1:3" x14ac:dyDescent="0.25">
      <c r="A271" s="8" t="s">
        <v>268</v>
      </c>
      <c r="B271" s="8" t="s">
        <v>92</v>
      </c>
      <c r="C271" s="8">
        <v>95</v>
      </c>
    </row>
    <row r="272" spans="1:3" x14ac:dyDescent="0.25">
      <c r="A272" s="8" t="s">
        <v>269</v>
      </c>
      <c r="B272" s="8" t="s">
        <v>51</v>
      </c>
      <c r="C272" s="8">
        <v>83</v>
      </c>
    </row>
    <row r="273" spans="1:3" x14ac:dyDescent="0.25">
      <c r="A273" s="8" t="s">
        <v>577</v>
      </c>
      <c r="B273" s="8" t="s">
        <v>1090</v>
      </c>
      <c r="C273" s="8">
        <v>0</v>
      </c>
    </row>
    <row r="274" spans="1:3" x14ac:dyDescent="0.25">
      <c r="A274" s="8" t="s">
        <v>126</v>
      </c>
      <c r="B274" s="8" t="s">
        <v>68</v>
      </c>
      <c r="C274" s="8">
        <v>54</v>
      </c>
    </row>
    <row r="275" spans="1:3" x14ac:dyDescent="0.25">
      <c r="A275" s="8" t="s">
        <v>176</v>
      </c>
      <c r="B275" s="8" t="s">
        <v>1098</v>
      </c>
      <c r="C275" s="8">
        <v>100</v>
      </c>
    </row>
    <row r="276" spans="1:3" x14ac:dyDescent="0.25">
      <c r="A276" s="8" t="s">
        <v>611</v>
      </c>
      <c r="B276" s="8" t="s">
        <v>1232</v>
      </c>
      <c r="C276" s="8">
        <v>66</v>
      </c>
    </row>
    <row r="277" spans="1:3" x14ac:dyDescent="0.25">
      <c r="A277" s="8" t="s">
        <v>695</v>
      </c>
      <c r="B277" s="8" t="s">
        <v>851</v>
      </c>
      <c r="C277" s="8">
        <v>0</v>
      </c>
    </row>
    <row r="278" spans="1:3" x14ac:dyDescent="0.25">
      <c r="A278" s="8" t="s">
        <v>569</v>
      </c>
      <c r="B278" s="8" t="s">
        <v>1042</v>
      </c>
      <c r="C278" s="8">
        <v>100</v>
      </c>
    </row>
    <row r="279" spans="1:3" x14ac:dyDescent="0.25">
      <c r="A279" s="8" t="s">
        <v>606</v>
      </c>
      <c r="B279" s="8" t="s">
        <v>1127</v>
      </c>
      <c r="C279" s="8">
        <v>100</v>
      </c>
    </row>
    <row r="280" spans="1:3" x14ac:dyDescent="0.25">
      <c r="A280" s="8" t="s">
        <v>618</v>
      </c>
      <c r="B280" s="8" t="s">
        <v>877</v>
      </c>
      <c r="C280" s="8">
        <v>100</v>
      </c>
    </row>
    <row r="281" spans="1:3" x14ac:dyDescent="0.25">
      <c r="A281" s="8" t="s">
        <v>697</v>
      </c>
      <c r="B281" s="8" t="s">
        <v>824</v>
      </c>
      <c r="C281" s="8">
        <v>0</v>
      </c>
    </row>
    <row r="282" spans="1:3" x14ac:dyDescent="0.25">
      <c r="A282" s="8" t="s">
        <v>270</v>
      </c>
      <c r="B282" s="8" t="s">
        <v>1059</v>
      </c>
      <c r="C282" s="8">
        <v>93</v>
      </c>
    </row>
    <row r="283" spans="1:3" x14ac:dyDescent="0.25">
      <c r="A283" s="8" t="s">
        <v>672</v>
      </c>
      <c r="B283" s="8" t="s">
        <v>1052</v>
      </c>
      <c r="C283" s="8">
        <v>80</v>
      </c>
    </row>
    <row r="284" spans="1:3" x14ac:dyDescent="0.25">
      <c r="A284" s="8" t="s">
        <v>271</v>
      </c>
      <c r="B284" s="8" t="s">
        <v>981</v>
      </c>
      <c r="C284" s="8">
        <v>93</v>
      </c>
    </row>
    <row r="285" spans="1:3" x14ac:dyDescent="0.25">
      <c r="A285" s="8" t="s">
        <v>715</v>
      </c>
      <c r="B285" s="8" t="s">
        <v>762</v>
      </c>
      <c r="C285" s="8">
        <v>25</v>
      </c>
    </row>
    <row r="286" spans="1:3" x14ac:dyDescent="0.25">
      <c r="A286" s="8" t="s">
        <v>644</v>
      </c>
      <c r="B286" s="8" t="s">
        <v>1233</v>
      </c>
      <c r="C286" s="8">
        <v>0</v>
      </c>
    </row>
    <row r="287" spans="1:3" x14ac:dyDescent="0.25">
      <c r="A287" s="8" t="s">
        <v>272</v>
      </c>
      <c r="B287" s="8" t="s">
        <v>114</v>
      </c>
      <c r="C287" s="8">
        <v>95</v>
      </c>
    </row>
    <row r="288" spans="1:3" x14ac:dyDescent="0.25">
      <c r="A288" s="8" t="s">
        <v>501</v>
      </c>
      <c r="B288" s="8" t="s">
        <v>951</v>
      </c>
      <c r="C288" s="8">
        <v>93</v>
      </c>
    </row>
    <row r="289" spans="1:3" x14ac:dyDescent="0.25">
      <c r="A289" s="8" t="s">
        <v>480</v>
      </c>
      <c r="B289" s="8" t="s">
        <v>1051</v>
      </c>
      <c r="C289" s="8">
        <v>92</v>
      </c>
    </row>
    <row r="290" spans="1:3" x14ac:dyDescent="0.25">
      <c r="A290" s="8" t="s">
        <v>694</v>
      </c>
      <c r="B290" s="37" t="s">
        <v>1172</v>
      </c>
      <c r="C290" s="37">
        <v>22</v>
      </c>
    </row>
    <row r="291" spans="1:3" x14ac:dyDescent="0.25">
      <c r="A291" s="8" t="s">
        <v>605</v>
      </c>
      <c r="B291" s="8" t="s">
        <v>1258</v>
      </c>
      <c r="C291" s="8">
        <v>100</v>
      </c>
    </row>
    <row r="292" spans="1:3" x14ac:dyDescent="0.25">
      <c r="A292" s="8" t="s">
        <v>689</v>
      </c>
      <c r="B292" s="8" t="s">
        <v>1105</v>
      </c>
      <c r="C292" s="8">
        <v>100</v>
      </c>
    </row>
    <row r="293" spans="1:3" x14ac:dyDescent="0.25">
      <c r="A293" s="8" t="s">
        <v>125</v>
      </c>
      <c r="B293" s="8" t="s">
        <v>59</v>
      </c>
      <c r="C293" s="8">
        <v>92</v>
      </c>
    </row>
    <row r="294" spans="1:3" x14ac:dyDescent="0.25">
      <c r="A294" s="8" t="s">
        <v>585</v>
      </c>
      <c r="B294" s="8" t="s">
        <v>809</v>
      </c>
      <c r="C294" s="8">
        <v>50</v>
      </c>
    </row>
    <row r="295" spans="1:3" x14ac:dyDescent="0.25">
      <c r="A295" s="8" t="s">
        <v>567</v>
      </c>
      <c r="B295" s="8" t="s">
        <v>886</v>
      </c>
      <c r="C295" s="8">
        <v>100</v>
      </c>
    </row>
    <row r="296" spans="1:3" x14ac:dyDescent="0.25">
      <c r="A296" s="8" t="s">
        <v>493</v>
      </c>
      <c r="B296" s="8" t="s">
        <v>1112</v>
      </c>
      <c r="C296" s="8">
        <v>87</v>
      </c>
    </row>
    <row r="297" spans="1:3" x14ac:dyDescent="0.25">
      <c r="A297" s="8" t="s">
        <v>483</v>
      </c>
      <c r="B297" s="8" t="s">
        <v>1149</v>
      </c>
      <c r="C297" s="8">
        <v>98</v>
      </c>
    </row>
    <row r="298" spans="1:3" x14ac:dyDescent="0.25">
      <c r="A298" s="8" t="s">
        <v>528</v>
      </c>
      <c r="B298" s="8" t="s">
        <v>1147</v>
      </c>
      <c r="C298" s="8">
        <v>89</v>
      </c>
    </row>
    <row r="299" spans="1:3" x14ac:dyDescent="0.25">
      <c r="A299" s="8" t="s">
        <v>703</v>
      </c>
      <c r="B299" s="8" t="s">
        <v>853</v>
      </c>
      <c r="C299" s="8">
        <v>100</v>
      </c>
    </row>
    <row r="300" spans="1:3" x14ac:dyDescent="0.25">
      <c r="A300" s="8" t="s">
        <v>565</v>
      </c>
      <c r="B300" s="8" t="s">
        <v>1013</v>
      </c>
      <c r="C300" s="8">
        <v>100</v>
      </c>
    </row>
    <row r="301" spans="1:3" x14ac:dyDescent="0.25">
      <c r="A301" s="8" t="s">
        <v>545</v>
      </c>
      <c r="B301" s="8" t="s">
        <v>1200</v>
      </c>
      <c r="C301" s="8">
        <v>86</v>
      </c>
    </row>
    <row r="302" spans="1:3" x14ac:dyDescent="0.25">
      <c r="A302" s="8" t="s">
        <v>171</v>
      </c>
      <c r="B302" s="8" t="s">
        <v>942</v>
      </c>
      <c r="C302" s="8">
        <v>100</v>
      </c>
    </row>
    <row r="303" spans="1:3" x14ac:dyDescent="0.25">
      <c r="A303" s="8" t="s">
        <v>520</v>
      </c>
      <c r="B303" s="8" t="s">
        <v>1199</v>
      </c>
      <c r="C303" s="8">
        <v>91</v>
      </c>
    </row>
    <row r="304" spans="1:3" x14ac:dyDescent="0.25">
      <c r="A304" s="8" t="s">
        <v>124</v>
      </c>
      <c r="B304" s="8" t="s">
        <v>35</v>
      </c>
      <c r="C304" s="8">
        <v>95</v>
      </c>
    </row>
    <row r="305" spans="1:3" x14ac:dyDescent="0.25">
      <c r="A305" s="8" t="s">
        <v>476</v>
      </c>
      <c r="B305" s="8" t="s">
        <v>963</v>
      </c>
      <c r="C305" s="8">
        <v>96</v>
      </c>
    </row>
    <row r="306" spans="1:3" x14ac:dyDescent="0.25">
      <c r="A306" s="8" t="s">
        <v>539</v>
      </c>
      <c r="B306" s="8" t="s">
        <v>1138</v>
      </c>
      <c r="C306" s="8">
        <v>100</v>
      </c>
    </row>
    <row r="307" spans="1:3" x14ac:dyDescent="0.25">
      <c r="A307" s="8" t="s">
        <v>517</v>
      </c>
      <c r="B307" s="8" t="s">
        <v>1125</v>
      </c>
      <c r="C307" s="8">
        <v>94</v>
      </c>
    </row>
    <row r="308" spans="1:3" x14ac:dyDescent="0.25">
      <c r="A308" s="8" t="s">
        <v>273</v>
      </c>
      <c r="B308" s="8" t="s">
        <v>1168</v>
      </c>
      <c r="C308" s="8">
        <v>85</v>
      </c>
    </row>
    <row r="309" spans="1:3" x14ac:dyDescent="0.25">
      <c r="A309" s="8" t="s">
        <v>274</v>
      </c>
      <c r="B309" s="8" t="s">
        <v>93</v>
      </c>
      <c r="C309" s="8">
        <v>96</v>
      </c>
    </row>
    <row r="310" spans="1:3" x14ac:dyDescent="0.25">
      <c r="A310" s="8" t="s">
        <v>150</v>
      </c>
      <c r="B310" s="8" t="s">
        <v>1186</v>
      </c>
      <c r="C310" s="8">
        <v>90</v>
      </c>
    </row>
    <row r="311" spans="1:3" x14ac:dyDescent="0.25">
      <c r="A311" s="8" t="s">
        <v>629</v>
      </c>
      <c r="B311" s="8" t="s">
        <v>1254</v>
      </c>
      <c r="C311" s="8">
        <v>0</v>
      </c>
    </row>
    <row r="312" spans="1:3" x14ac:dyDescent="0.25">
      <c r="A312" s="8" t="s">
        <v>275</v>
      </c>
      <c r="B312" s="8" t="s">
        <v>944</v>
      </c>
      <c r="C312" s="8">
        <v>98</v>
      </c>
    </row>
    <row r="313" spans="1:3" x14ac:dyDescent="0.25">
      <c r="A313" s="8" t="s">
        <v>498</v>
      </c>
      <c r="B313" s="8" t="s">
        <v>30</v>
      </c>
      <c r="C313" s="8">
        <v>87</v>
      </c>
    </row>
    <row r="314" spans="1:3" x14ac:dyDescent="0.25">
      <c r="A314" s="8" t="s">
        <v>601</v>
      </c>
      <c r="B314" s="8" t="s">
        <v>1045</v>
      </c>
      <c r="C314" s="8">
        <v>100</v>
      </c>
    </row>
    <row r="315" spans="1:3" x14ac:dyDescent="0.25">
      <c r="A315" s="8" t="s">
        <v>152</v>
      </c>
      <c r="B315" s="8" t="s">
        <v>922</v>
      </c>
      <c r="C315" s="8">
        <v>100</v>
      </c>
    </row>
    <row r="316" spans="1:3" x14ac:dyDescent="0.25">
      <c r="A316" s="8" t="s">
        <v>725</v>
      </c>
      <c r="B316" s="8" t="s">
        <v>994</v>
      </c>
      <c r="C316" s="8">
        <v>100</v>
      </c>
    </row>
    <row r="317" spans="1:3" x14ac:dyDescent="0.25">
      <c r="A317" s="8" t="s">
        <v>276</v>
      </c>
      <c r="B317" s="8" t="s">
        <v>109</v>
      </c>
      <c r="C317" s="8">
        <v>93</v>
      </c>
    </row>
    <row r="318" spans="1:3" x14ac:dyDescent="0.25">
      <c r="A318" s="8" t="s">
        <v>627</v>
      </c>
      <c r="B318" s="8" t="s">
        <v>1148</v>
      </c>
      <c r="C318" s="8">
        <v>100</v>
      </c>
    </row>
    <row r="319" spans="1:3" x14ac:dyDescent="0.25">
      <c r="A319" s="8" t="s">
        <v>515</v>
      </c>
      <c r="B319" s="8" t="s">
        <v>119</v>
      </c>
      <c r="C319" s="8">
        <v>91</v>
      </c>
    </row>
    <row r="320" spans="1:3" x14ac:dyDescent="0.25">
      <c r="A320" s="8" t="s">
        <v>572</v>
      </c>
      <c r="B320" s="8" t="s">
        <v>914</v>
      </c>
      <c r="C320" s="8">
        <v>100</v>
      </c>
    </row>
    <row r="321" spans="1:3" x14ac:dyDescent="0.25">
      <c r="A321" s="8" t="s">
        <v>641</v>
      </c>
      <c r="B321" s="8" t="s">
        <v>982</v>
      </c>
      <c r="C321" s="8">
        <v>0</v>
      </c>
    </row>
    <row r="322" spans="1:3" x14ac:dyDescent="0.25">
      <c r="A322" s="8" t="s">
        <v>625</v>
      </c>
      <c r="B322" s="8" t="s">
        <v>945</v>
      </c>
      <c r="C322" s="8">
        <v>0</v>
      </c>
    </row>
    <row r="323" spans="1:3" x14ac:dyDescent="0.25">
      <c r="A323" s="8" t="s">
        <v>511</v>
      </c>
      <c r="B323" s="8" t="s">
        <v>872</v>
      </c>
      <c r="C323" s="8">
        <v>0</v>
      </c>
    </row>
    <row r="324" spans="1:3" x14ac:dyDescent="0.25">
      <c r="A324" s="8" t="s">
        <v>185</v>
      </c>
      <c r="B324" s="8" t="s">
        <v>911</v>
      </c>
      <c r="C324" s="8">
        <v>89</v>
      </c>
    </row>
    <row r="325" spans="1:3" x14ac:dyDescent="0.25">
      <c r="A325" s="8" t="s">
        <v>277</v>
      </c>
      <c r="B325" s="8" t="s">
        <v>1143</v>
      </c>
      <c r="C325" s="8">
        <v>100</v>
      </c>
    </row>
    <row r="326" spans="1:3" x14ac:dyDescent="0.25">
      <c r="A326" s="8" t="s">
        <v>591</v>
      </c>
      <c r="B326" s="8" t="s">
        <v>1019</v>
      </c>
      <c r="C326" s="8">
        <v>0</v>
      </c>
    </row>
    <row r="327" spans="1:3" x14ac:dyDescent="0.25">
      <c r="A327" s="8" t="s">
        <v>679</v>
      </c>
      <c r="B327" s="8" t="s">
        <v>1032</v>
      </c>
      <c r="C327" s="8">
        <v>50</v>
      </c>
    </row>
    <row r="328" spans="1:3" x14ac:dyDescent="0.25">
      <c r="A328" s="8" t="s">
        <v>153</v>
      </c>
      <c r="B328" s="8" t="s">
        <v>118</v>
      </c>
      <c r="C328" s="8">
        <v>81</v>
      </c>
    </row>
    <row r="329" spans="1:3" x14ac:dyDescent="0.25">
      <c r="A329" s="8" t="s">
        <v>663</v>
      </c>
      <c r="B329" s="8" t="s">
        <v>950</v>
      </c>
      <c r="C329" s="8">
        <v>100</v>
      </c>
    </row>
    <row r="330" spans="1:3" x14ac:dyDescent="0.25">
      <c r="A330" s="8" t="s">
        <v>496</v>
      </c>
      <c r="B330" s="8" t="s">
        <v>26</v>
      </c>
      <c r="C330" s="8">
        <v>80</v>
      </c>
    </row>
    <row r="331" spans="1:3" x14ac:dyDescent="0.25">
      <c r="A331" s="8" t="s">
        <v>674</v>
      </c>
      <c r="B331" s="8" t="s">
        <v>880</v>
      </c>
      <c r="C331" s="8">
        <v>50</v>
      </c>
    </row>
    <row r="332" spans="1:3" x14ac:dyDescent="0.25">
      <c r="A332" s="8" t="s">
        <v>278</v>
      </c>
      <c r="B332" s="8" t="s">
        <v>117</v>
      </c>
      <c r="C332" s="8">
        <v>100</v>
      </c>
    </row>
    <row r="333" spans="1:3" x14ac:dyDescent="0.25">
      <c r="A333" s="8" t="s">
        <v>279</v>
      </c>
      <c r="B333" s="8" t="s">
        <v>1021</v>
      </c>
      <c r="C333" s="8">
        <v>92</v>
      </c>
    </row>
    <row r="334" spans="1:3" x14ac:dyDescent="0.25">
      <c r="A334" s="8" t="s">
        <v>635</v>
      </c>
      <c r="B334" s="8" t="s">
        <v>904</v>
      </c>
      <c r="C334" s="8">
        <v>100</v>
      </c>
    </row>
    <row r="335" spans="1:3" x14ac:dyDescent="0.25">
      <c r="A335" s="8" t="s">
        <v>123</v>
      </c>
      <c r="B335" s="8" t="s">
        <v>1161</v>
      </c>
      <c r="C335" s="8">
        <v>70</v>
      </c>
    </row>
    <row r="336" spans="1:3" x14ac:dyDescent="0.25">
      <c r="A336" s="8" t="s">
        <v>700</v>
      </c>
      <c r="B336" s="8" t="s">
        <v>1073</v>
      </c>
      <c r="C336" s="8">
        <v>0</v>
      </c>
    </row>
    <row r="337" spans="1:3" x14ac:dyDescent="0.25">
      <c r="A337" s="8" t="s">
        <v>676</v>
      </c>
      <c r="B337" s="8" t="s">
        <v>947</v>
      </c>
      <c r="C337" s="8">
        <v>83</v>
      </c>
    </row>
    <row r="338" spans="1:3" x14ac:dyDescent="0.25">
      <c r="A338" s="8" t="s">
        <v>280</v>
      </c>
      <c r="B338" s="8" t="s">
        <v>1234</v>
      </c>
      <c r="C338" s="8">
        <v>0</v>
      </c>
    </row>
    <row r="339" spans="1:3" x14ac:dyDescent="0.25">
      <c r="A339" s="8" t="s">
        <v>488</v>
      </c>
      <c r="B339" s="8" t="s">
        <v>1181</v>
      </c>
      <c r="C339" s="8">
        <v>92</v>
      </c>
    </row>
    <row r="340" spans="1:3" x14ac:dyDescent="0.25">
      <c r="A340" s="8" t="s">
        <v>610</v>
      </c>
      <c r="B340" s="8" t="s">
        <v>830</v>
      </c>
      <c r="C340" s="8">
        <v>0</v>
      </c>
    </row>
    <row r="341" spans="1:3" x14ac:dyDescent="0.25">
      <c r="A341" s="8" t="s">
        <v>186</v>
      </c>
      <c r="B341" s="8" t="s">
        <v>814</v>
      </c>
      <c r="C341" s="8">
        <v>97</v>
      </c>
    </row>
    <row r="342" spans="1:3" x14ac:dyDescent="0.25">
      <c r="A342" s="8" t="s">
        <v>505</v>
      </c>
      <c r="B342" s="8" t="s">
        <v>1107</v>
      </c>
      <c r="C342" s="8">
        <v>92</v>
      </c>
    </row>
    <row r="343" spans="1:3" x14ac:dyDescent="0.25">
      <c r="A343" s="8" t="s">
        <v>281</v>
      </c>
      <c r="B343" s="8" t="s">
        <v>107</v>
      </c>
      <c r="C343" s="8">
        <v>98</v>
      </c>
    </row>
    <row r="344" spans="1:3" x14ac:dyDescent="0.25">
      <c r="A344" s="8" t="s">
        <v>282</v>
      </c>
      <c r="B344" s="8" t="s">
        <v>91</v>
      </c>
      <c r="C344" s="8">
        <v>100</v>
      </c>
    </row>
    <row r="345" spans="1:3" x14ac:dyDescent="0.25">
      <c r="A345" s="8" t="s">
        <v>657</v>
      </c>
      <c r="B345" s="8" t="s">
        <v>1050</v>
      </c>
      <c r="C345" s="8">
        <v>50</v>
      </c>
    </row>
    <row r="346" spans="1:3" x14ac:dyDescent="0.25">
      <c r="A346" s="8" t="s">
        <v>716</v>
      </c>
      <c r="B346" s="8" t="s">
        <v>1205</v>
      </c>
      <c r="C346" s="8">
        <v>100</v>
      </c>
    </row>
    <row r="347" spans="1:3" x14ac:dyDescent="0.25">
      <c r="A347" s="8" t="s">
        <v>175</v>
      </c>
      <c r="B347" s="8" t="s">
        <v>65</v>
      </c>
      <c r="C347" s="8">
        <v>100</v>
      </c>
    </row>
    <row r="348" spans="1:3" x14ac:dyDescent="0.25">
      <c r="A348" s="8" t="s">
        <v>717</v>
      </c>
      <c r="B348" s="8" t="s">
        <v>1020</v>
      </c>
      <c r="C348" s="8">
        <v>0</v>
      </c>
    </row>
    <row r="349" spans="1:3" x14ac:dyDescent="0.25">
      <c r="A349" s="8" t="s">
        <v>619</v>
      </c>
      <c r="B349" s="8" t="s">
        <v>1054</v>
      </c>
      <c r="C349" s="8">
        <v>0</v>
      </c>
    </row>
    <row r="350" spans="1:3" x14ac:dyDescent="0.25">
      <c r="A350" s="8" t="s">
        <v>494</v>
      </c>
      <c r="B350" s="8" t="s">
        <v>1176</v>
      </c>
      <c r="C350" s="8">
        <v>100</v>
      </c>
    </row>
    <row r="351" spans="1:3" x14ac:dyDescent="0.25">
      <c r="A351" s="8" t="s">
        <v>191</v>
      </c>
      <c r="B351" s="8" t="s">
        <v>8</v>
      </c>
      <c r="C351" s="8">
        <v>96</v>
      </c>
    </row>
    <row r="352" spans="1:3" x14ac:dyDescent="0.25">
      <c r="A352" s="8" t="s">
        <v>636</v>
      </c>
      <c r="B352" s="8" t="s">
        <v>840</v>
      </c>
      <c r="C352" s="8">
        <v>100</v>
      </c>
    </row>
    <row r="353" spans="1:3" x14ac:dyDescent="0.25">
      <c r="A353" s="8" t="s">
        <v>283</v>
      </c>
      <c r="B353" s="8" t="s">
        <v>56</v>
      </c>
      <c r="C353" s="8">
        <v>92</v>
      </c>
    </row>
    <row r="354" spans="1:3" x14ac:dyDescent="0.25">
      <c r="A354" s="8" t="s">
        <v>203</v>
      </c>
      <c r="B354" s="8" t="s">
        <v>1187</v>
      </c>
      <c r="C354" s="8">
        <v>0</v>
      </c>
    </row>
    <row r="355" spans="1:3" x14ac:dyDescent="0.25">
      <c r="A355" s="8" t="s">
        <v>497</v>
      </c>
      <c r="B355" s="8" t="s">
        <v>1079</v>
      </c>
      <c r="C355" s="8">
        <v>86</v>
      </c>
    </row>
    <row r="356" spans="1:3" x14ac:dyDescent="0.25">
      <c r="A356" s="8" t="s">
        <v>284</v>
      </c>
      <c r="B356" s="8" t="s">
        <v>946</v>
      </c>
      <c r="C356" s="8">
        <v>83</v>
      </c>
    </row>
    <row r="357" spans="1:3" x14ac:dyDescent="0.25">
      <c r="A357" s="8" t="s">
        <v>285</v>
      </c>
      <c r="B357" s="8" t="s">
        <v>52</v>
      </c>
      <c r="C357" s="8">
        <v>92</v>
      </c>
    </row>
    <row r="358" spans="1:3" x14ac:dyDescent="0.25">
      <c r="A358" s="8" t="s">
        <v>286</v>
      </c>
      <c r="B358" s="8" t="s">
        <v>1151</v>
      </c>
      <c r="C358" s="8">
        <v>95</v>
      </c>
    </row>
    <row r="359" spans="1:3" x14ac:dyDescent="0.25">
      <c r="A359" s="8" t="s">
        <v>502</v>
      </c>
      <c r="B359" s="8" t="s">
        <v>1177</v>
      </c>
      <c r="C359" s="8">
        <v>94</v>
      </c>
    </row>
    <row r="360" spans="1:3" x14ac:dyDescent="0.25">
      <c r="A360" s="8" t="s">
        <v>724</v>
      </c>
      <c r="B360" s="8" t="s">
        <v>1201</v>
      </c>
      <c r="C360" s="8">
        <v>0</v>
      </c>
    </row>
    <row r="361" spans="1:3" x14ac:dyDescent="0.25">
      <c r="A361" s="8" t="s">
        <v>287</v>
      </c>
      <c r="B361" s="8" t="s">
        <v>1142</v>
      </c>
      <c r="C361" s="8">
        <v>98</v>
      </c>
    </row>
    <row r="362" spans="1:3" x14ac:dyDescent="0.25">
      <c r="A362" s="8" t="s">
        <v>609</v>
      </c>
      <c r="B362" s="8" t="s">
        <v>1039</v>
      </c>
      <c r="C362" s="8">
        <v>100</v>
      </c>
    </row>
    <row r="363" spans="1:3" x14ac:dyDescent="0.25">
      <c r="A363" s="8" t="s">
        <v>122</v>
      </c>
      <c r="B363" s="8" t="s">
        <v>7</v>
      </c>
      <c r="C363" s="8">
        <v>93</v>
      </c>
    </row>
    <row r="364" spans="1:3" x14ac:dyDescent="0.25">
      <c r="A364" s="8" t="s">
        <v>595</v>
      </c>
      <c r="B364" s="8" t="s">
        <v>900</v>
      </c>
      <c r="C364" s="8">
        <v>100</v>
      </c>
    </row>
    <row r="365" spans="1:3" x14ac:dyDescent="0.25">
      <c r="A365" s="8" t="s">
        <v>612</v>
      </c>
      <c r="B365" s="8" t="s">
        <v>1099</v>
      </c>
      <c r="C365" s="8">
        <v>100</v>
      </c>
    </row>
    <row r="366" spans="1:3" x14ac:dyDescent="0.25">
      <c r="A366" s="8" t="s">
        <v>196</v>
      </c>
      <c r="B366" s="8" t="s">
        <v>1131</v>
      </c>
      <c r="C366" s="8">
        <v>93</v>
      </c>
    </row>
    <row r="367" spans="1:3" x14ac:dyDescent="0.25">
      <c r="A367" s="8" t="s">
        <v>288</v>
      </c>
      <c r="B367" s="8" t="s">
        <v>57</v>
      </c>
      <c r="C367" s="8">
        <v>95</v>
      </c>
    </row>
    <row r="368" spans="1:3" x14ac:dyDescent="0.25">
      <c r="A368" s="8" t="s">
        <v>583</v>
      </c>
      <c r="B368" s="8" t="s">
        <v>941</v>
      </c>
      <c r="C368" s="8">
        <v>57</v>
      </c>
    </row>
    <row r="369" spans="1:3" x14ac:dyDescent="0.25">
      <c r="A369" s="8" t="s">
        <v>289</v>
      </c>
      <c r="B369" s="8" t="s">
        <v>875</v>
      </c>
      <c r="C369" s="8">
        <v>78</v>
      </c>
    </row>
    <row r="370" spans="1:3" x14ac:dyDescent="0.25">
      <c r="A370" s="8" t="s">
        <v>180</v>
      </c>
      <c r="B370" s="8" t="s">
        <v>927</v>
      </c>
      <c r="C370" s="8">
        <v>91</v>
      </c>
    </row>
    <row r="371" spans="1:3" x14ac:dyDescent="0.25">
      <c r="A371" s="8" t="s">
        <v>473</v>
      </c>
      <c r="B371" s="8" t="s">
        <v>835</v>
      </c>
      <c r="C371" s="8">
        <v>100</v>
      </c>
    </row>
    <row r="372" spans="1:3" x14ac:dyDescent="0.25">
      <c r="A372" s="8" t="s">
        <v>668</v>
      </c>
      <c r="B372" s="8" t="s">
        <v>843</v>
      </c>
      <c r="C372" s="8">
        <v>50</v>
      </c>
    </row>
    <row r="373" spans="1:3" x14ac:dyDescent="0.25">
      <c r="A373" s="8" t="s">
        <v>714</v>
      </c>
      <c r="B373" s="8" t="s">
        <v>939</v>
      </c>
      <c r="C373" s="8">
        <v>100</v>
      </c>
    </row>
    <row r="374" spans="1:3" x14ac:dyDescent="0.25">
      <c r="A374" s="8" t="s">
        <v>177</v>
      </c>
      <c r="B374" s="8" t="s">
        <v>1062</v>
      </c>
      <c r="C374" s="8">
        <v>100</v>
      </c>
    </row>
    <row r="375" spans="1:3" x14ac:dyDescent="0.25">
      <c r="A375" s="8" t="s">
        <v>507</v>
      </c>
      <c r="B375" s="8" t="s">
        <v>837</v>
      </c>
      <c r="C375" s="8">
        <v>90</v>
      </c>
    </row>
    <row r="376" spans="1:3" x14ac:dyDescent="0.25">
      <c r="A376" s="8" t="s">
        <v>525</v>
      </c>
      <c r="B376" s="8" t="s">
        <v>1002</v>
      </c>
      <c r="C376" s="8">
        <v>98</v>
      </c>
    </row>
    <row r="377" spans="1:3" x14ac:dyDescent="0.25">
      <c r="A377" s="8" t="s">
        <v>290</v>
      </c>
      <c r="B377" s="8" t="s">
        <v>899</v>
      </c>
      <c r="C377" s="8">
        <v>0</v>
      </c>
    </row>
    <row r="378" spans="1:3" x14ac:dyDescent="0.25">
      <c r="A378" s="8" t="s">
        <v>495</v>
      </c>
      <c r="B378" s="8" t="s">
        <v>1173</v>
      </c>
      <c r="C378" s="8">
        <v>76</v>
      </c>
    </row>
    <row r="379" spans="1:3" x14ac:dyDescent="0.25">
      <c r="A379" s="8" t="s">
        <v>683</v>
      </c>
      <c r="B379" s="8" t="s">
        <v>1191</v>
      </c>
      <c r="C379" s="8">
        <v>50</v>
      </c>
    </row>
    <row r="380" spans="1:3" x14ac:dyDescent="0.25">
      <c r="A380" s="8" t="s">
        <v>628</v>
      </c>
      <c r="B380" s="8" t="s">
        <v>1048</v>
      </c>
      <c r="C380" s="8">
        <v>100</v>
      </c>
    </row>
    <row r="381" spans="1:3" x14ac:dyDescent="0.25">
      <c r="A381" s="8" t="s">
        <v>157</v>
      </c>
      <c r="B381" s="8" t="s">
        <v>111</v>
      </c>
      <c r="C381" s="8">
        <v>100</v>
      </c>
    </row>
    <row r="382" spans="1:3" x14ac:dyDescent="0.25">
      <c r="A382" s="8" t="s">
        <v>291</v>
      </c>
      <c r="B382" s="8" t="s">
        <v>856</v>
      </c>
      <c r="C382" s="8">
        <v>96</v>
      </c>
    </row>
    <row r="383" spans="1:3" x14ac:dyDescent="0.25">
      <c r="A383" s="8" t="s">
        <v>292</v>
      </c>
      <c r="B383" s="8" t="s">
        <v>103</v>
      </c>
      <c r="C383" s="8">
        <v>93</v>
      </c>
    </row>
    <row r="384" spans="1:3" x14ac:dyDescent="0.25">
      <c r="A384" s="8" t="s">
        <v>492</v>
      </c>
      <c r="B384" s="8" t="s">
        <v>1113</v>
      </c>
      <c r="C384" s="8">
        <v>86</v>
      </c>
    </row>
    <row r="385" spans="1:3" x14ac:dyDescent="0.25">
      <c r="A385" s="8" t="s">
        <v>293</v>
      </c>
      <c r="B385" s="8" t="s">
        <v>1101</v>
      </c>
      <c r="C385" s="8">
        <v>100</v>
      </c>
    </row>
    <row r="386" spans="1:3" x14ac:dyDescent="0.25">
      <c r="A386" s="8" t="s">
        <v>589</v>
      </c>
      <c r="B386" s="8" t="s">
        <v>919</v>
      </c>
      <c r="C386" s="8">
        <v>100</v>
      </c>
    </row>
    <row r="387" spans="1:3" x14ac:dyDescent="0.25">
      <c r="A387" s="8" t="s">
        <v>536</v>
      </c>
      <c r="B387" s="8" t="s">
        <v>1117</v>
      </c>
      <c r="C387" s="8">
        <v>100</v>
      </c>
    </row>
    <row r="388" spans="1:3" x14ac:dyDescent="0.25">
      <c r="A388" s="8" t="s">
        <v>1235</v>
      </c>
      <c r="B388" s="8" t="s">
        <v>1236</v>
      </c>
      <c r="C388" s="8">
        <v>0</v>
      </c>
    </row>
    <row r="389" spans="1:3" x14ac:dyDescent="0.25">
      <c r="A389" s="8" t="s">
        <v>187</v>
      </c>
      <c r="B389" s="8" t="s">
        <v>797</v>
      </c>
      <c r="C389" s="8">
        <v>100</v>
      </c>
    </row>
    <row r="390" spans="1:3" x14ac:dyDescent="0.25">
      <c r="A390" s="8" t="s">
        <v>294</v>
      </c>
      <c r="B390" s="8" t="s">
        <v>81</v>
      </c>
      <c r="C390" s="8">
        <v>86</v>
      </c>
    </row>
    <row r="391" spans="1:3" x14ac:dyDescent="0.25">
      <c r="A391" s="8" t="s">
        <v>624</v>
      </c>
      <c r="B391" s="8" t="s">
        <v>1237</v>
      </c>
      <c r="C391" s="8">
        <v>0</v>
      </c>
    </row>
    <row r="392" spans="1:3" x14ac:dyDescent="0.25">
      <c r="A392" s="8" t="s">
        <v>637</v>
      </c>
      <c r="B392" s="8" t="s">
        <v>1007</v>
      </c>
      <c r="C392" s="8">
        <v>50</v>
      </c>
    </row>
    <row r="393" spans="1:3" x14ac:dyDescent="0.25">
      <c r="A393" s="8" t="s">
        <v>677</v>
      </c>
      <c r="B393" s="8" t="s">
        <v>878</v>
      </c>
      <c r="C393" s="8">
        <v>100</v>
      </c>
    </row>
    <row r="394" spans="1:3" x14ac:dyDescent="0.25">
      <c r="A394" s="8" t="s">
        <v>295</v>
      </c>
      <c r="B394" s="8" t="s">
        <v>928</v>
      </c>
      <c r="C394" s="8">
        <v>90</v>
      </c>
    </row>
    <row r="395" spans="1:3" x14ac:dyDescent="0.25">
      <c r="A395" s="8" t="s">
        <v>296</v>
      </c>
      <c r="B395" s="8" t="s">
        <v>910</v>
      </c>
      <c r="C395" s="8">
        <v>92</v>
      </c>
    </row>
    <row r="396" spans="1:3" x14ac:dyDescent="0.25">
      <c r="A396" s="8" t="s">
        <v>297</v>
      </c>
      <c r="B396" s="8" t="s">
        <v>77</v>
      </c>
      <c r="C396" s="8">
        <v>100</v>
      </c>
    </row>
    <row r="397" spans="1:3" x14ac:dyDescent="0.25">
      <c r="A397" s="8" t="s">
        <v>168</v>
      </c>
      <c r="B397" s="8" t="s">
        <v>1089</v>
      </c>
      <c r="C397" s="8">
        <v>96</v>
      </c>
    </row>
    <row r="398" spans="1:3" x14ac:dyDescent="0.25">
      <c r="A398" s="8" t="s">
        <v>575</v>
      </c>
      <c r="B398" s="8" t="s">
        <v>1094</v>
      </c>
      <c r="C398" s="8">
        <v>0</v>
      </c>
    </row>
    <row r="399" spans="1:3" x14ac:dyDescent="0.25">
      <c r="A399" s="8" t="s">
        <v>197</v>
      </c>
      <c r="B399" s="8" t="s">
        <v>1011</v>
      </c>
      <c r="C399" s="8">
        <v>97</v>
      </c>
    </row>
    <row r="400" spans="1:3" x14ac:dyDescent="0.25">
      <c r="A400" s="8" t="s">
        <v>562</v>
      </c>
      <c r="B400" s="8" t="s">
        <v>1017</v>
      </c>
      <c r="C400" s="8">
        <v>62</v>
      </c>
    </row>
    <row r="401" spans="1:3" x14ac:dyDescent="0.25">
      <c r="A401" s="8" t="s">
        <v>470</v>
      </c>
      <c r="B401" s="8" t="s">
        <v>964</v>
      </c>
      <c r="C401" s="8">
        <v>91</v>
      </c>
    </row>
    <row r="402" spans="1:3" x14ac:dyDescent="0.25">
      <c r="A402" s="8" t="s">
        <v>564</v>
      </c>
      <c r="B402" s="8" t="s">
        <v>881</v>
      </c>
      <c r="C402" s="8">
        <v>100</v>
      </c>
    </row>
    <row r="403" spans="1:3" x14ac:dyDescent="0.25">
      <c r="A403" s="8" t="s">
        <v>571</v>
      </c>
      <c r="B403" s="8" t="s">
        <v>902</v>
      </c>
      <c r="C403" s="8">
        <v>100</v>
      </c>
    </row>
    <row r="404" spans="1:3" x14ac:dyDescent="0.25">
      <c r="A404" s="8" t="s">
        <v>535</v>
      </c>
      <c r="B404" s="8" t="s">
        <v>1035</v>
      </c>
      <c r="C404" s="8">
        <v>88</v>
      </c>
    </row>
    <row r="405" spans="1:3" x14ac:dyDescent="0.25">
      <c r="A405" s="8" t="s">
        <v>639</v>
      </c>
      <c r="B405" s="8" t="s">
        <v>948</v>
      </c>
      <c r="C405" s="8">
        <v>0</v>
      </c>
    </row>
    <row r="406" spans="1:3" x14ac:dyDescent="0.25">
      <c r="A406" s="8" t="s">
        <v>298</v>
      </c>
      <c r="B406" s="8" t="s">
        <v>1049</v>
      </c>
      <c r="C406" s="8">
        <v>87</v>
      </c>
    </row>
    <row r="407" spans="1:3" x14ac:dyDescent="0.25">
      <c r="A407" s="8" t="s">
        <v>698</v>
      </c>
      <c r="B407" s="8" t="s">
        <v>917</v>
      </c>
      <c r="C407" s="8">
        <v>50</v>
      </c>
    </row>
    <row r="408" spans="1:3" x14ac:dyDescent="0.25">
      <c r="A408" s="8" t="s">
        <v>688</v>
      </c>
      <c r="B408" s="8" t="s">
        <v>1036</v>
      </c>
      <c r="C408" s="8">
        <v>0</v>
      </c>
    </row>
    <row r="409" spans="1:3" x14ac:dyDescent="0.25">
      <c r="A409" s="8" t="s">
        <v>538</v>
      </c>
      <c r="B409" s="8" t="s">
        <v>1159</v>
      </c>
      <c r="C409" s="8">
        <v>91</v>
      </c>
    </row>
    <row r="410" spans="1:3" x14ac:dyDescent="0.25">
      <c r="A410" s="8" t="s">
        <v>682</v>
      </c>
      <c r="B410" s="8" t="s">
        <v>1110</v>
      </c>
      <c r="C410" s="8">
        <v>100</v>
      </c>
    </row>
    <row r="411" spans="1:3" x14ac:dyDescent="0.25">
      <c r="A411" s="8" t="s">
        <v>299</v>
      </c>
      <c r="B411" s="8" t="s">
        <v>72</v>
      </c>
      <c r="C411" s="8">
        <v>90</v>
      </c>
    </row>
    <row r="412" spans="1:3" x14ac:dyDescent="0.25">
      <c r="A412" s="8" t="s">
        <v>300</v>
      </c>
      <c r="B412" s="8" t="s">
        <v>1190</v>
      </c>
      <c r="C412" s="8">
        <v>90</v>
      </c>
    </row>
    <row r="413" spans="1:3" x14ac:dyDescent="0.25">
      <c r="A413" s="8" t="s">
        <v>301</v>
      </c>
      <c r="B413" s="8" t="s">
        <v>37</v>
      </c>
      <c r="C413" s="8">
        <v>96</v>
      </c>
    </row>
    <row r="414" spans="1:3" x14ac:dyDescent="0.25">
      <c r="A414" s="8" t="s">
        <v>690</v>
      </c>
      <c r="B414" s="8" t="s">
        <v>1026</v>
      </c>
      <c r="C414" s="8">
        <v>50</v>
      </c>
    </row>
    <row r="415" spans="1:3" x14ac:dyDescent="0.25">
      <c r="A415" s="8" t="s">
        <v>526</v>
      </c>
      <c r="B415" s="8" t="s">
        <v>770</v>
      </c>
      <c r="C415" s="8">
        <v>92</v>
      </c>
    </row>
    <row r="416" spans="1:3" x14ac:dyDescent="0.25">
      <c r="A416" s="8" t="s">
        <v>604</v>
      </c>
      <c r="B416" s="8" t="s">
        <v>1084</v>
      </c>
      <c r="C416" s="8">
        <v>0</v>
      </c>
    </row>
    <row r="417" spans="1:3" x14ac:dyDescent="0.25">
      <c r="A417" s="8" t="s">
        <v>540</v>
      </c>
      <c r="B417" s="8" t="s">
        <v>870</v>
      </c>
      <c r="C417" s="8">
        <v>100</v>
      </c>
    </row>
    <row r="418" spans="1:3" x14ac:dyDescent="0.25">
      <c r="A418" s="8" t="s">
        <v>654</v>
      </c>
      <c r="B418" s="8" t="s">
        <v>988</v>
      </c>
      <c r="C418" s="8">
        <v>100</v>
      </c>
    </row>
    <row r="419" spans="1:3" x14ac:dyDescent="0.25">
      <c r="A419" s="8" t="s">
        <v>302</v>
      </c>
      <c r="B419" s="8" t="s">
        <v>1114</v>
      </c>
      <c r="C419" s="8">
        <v>91</v>
      </c>
    </row>
    <row r="420" spans="1:3" x14ac:dyDescent="0.25">
      <c r="A420" s="8" t="s">
        <v>303</v>
      </c>
      <c r="B420" s="8" t="s">
        <v>60</v>
      </c>
      <c r="C420" s="8">
        <v>83</v>
      </c>
    </row>
    <row r="421" spans="1:3" x14ac:dyDescent="0.25">
      <c r="A421" s="8" t="s">
        <v>304</v>
      </c>
      <c r="B421" s="8" t="s">
        <v>1238</v>
      </c>
      <c r="C421" s="8">
        <v>0</v>
      </c>
    </row>
    <row r="422" spans="1:3" x14ac:dyDescent="0.25">
      <c r="A422" s="8" t="s">
        <v>506</v>
      </c>
      <c r="B422" s="8" t="s">
        <v>1023</v>
      </c>
      <c r="C422" s="8">
        <v>89</v>
      </c>
    </row>
    <row r="423" spans="1:3" x14ac:dyDescent="0.25">
      <c r="A423" s="8" t="s">
        <v>305</v>
      </c>
      <c r="B423" s="8" t="s">
        <v>801</v>
      </c>
      <c r="C423" s="8">
        <v>91</v>
      </c>
    </row>
    <row r="424" spans="1:3" x14ac:dyDescent="0.25">
      <c r="A424" s="8" t="s">
        <v>306</v>
      </c>
      <c r="B424" s="8" t="s">
        <v>952</v>
      </c>
      <c r="C424" s="8">
        <v>100</v>
      </c>
    </row>
    <row r="425" spans="1:3" x14ac:dyDescent="0.25">
      <c r="A425" s="8" t="s">
        <v>307</v>
      </c>
      <c r="B425" s="8" t="s">
        <v>1009</v>
      </c>
      <c r="C425" s="8">
        <v>95</v>
      </c>
    </row>
    <row r="426" spans="1:3" x14ac:dyDescent="0.25">
      <c r="A426" s="8" t="s">
        <v>531</v>
      </c>
      <c r="B426" s="8" t="s">
        <v>1010</v>
      </c>
      <c r="C426" s="8">
        <v>91</v>
      </c>
    </row>
    <row r="427" spans="1:3" x14ac:dyDescent="0.25">
      <c r="A427" s="8" t="s">
        <v>709</v>
      </c>
      <c r="B427" s="8" t="s">
        <v>869</v>
      </c>
      <c r="C427" s="8">
        <v>0</v>
      </c>
    </row>
    <row r="428" spans="1:3" x14ac:dyDescent="0.25">
      <c r="A428" s="8" t="s">
        <v>532</v>
      </c>
      <c r="B428" s="8" t="s">
        <v>1095</v>
      </c>
      <c r="C428" s="8">
        <v>98</v>
      </c>
    </row>
    <row r="429" spans="1:3" x14ac:dyDescent="0.25">
      <c r="A429" s="8" t="s">
        <v>582</v>
      </c>
      <c r="B429" s="8" t="s">
        <v>857</v>
      </c>
      <c r="C429" s="8">
        <v>90</v>
      </c>
    </row>
    <row r="430" spans="1:3" x14ac:dyDescent="0.25">
      <c r="A430" s="8" t="s">
        <v>308</v>
      </c>
      <c r="B430" s="8" t="s">
        <v>1124</v>
      </c>
      <c r="C430" s="8">
        <v>92</v>
      </c>
    </row>
    <row r="431" spans="1:3" x14ac:dyDescent="0.25">
      <c r="A431" s="8" t="s">
        <v>664</v>
      </c>
      <c r="B431" s="8" t="s">
        <v>1040</v>
      </c>
      <c r="C431" s="8">
        <v>100</v>
      </c>
    </row>
    <row r="432" spans="1:3" x14ac:dyDescent="0.25">
      <c r="A432" s="8" t="s">
        <v>719</v>
      </c>
      <c r="B432" s="8" t="s">
        <v>940</v>
      </c>
      <c r="C432" s="8">
        <v>0</v>
      </c>
    </row>
    <row r="433" spans="1:3" x14ac:dyDescent="0.25">
      <c r="A433" s="8" t="s">
        <v>675</v>
      </c>
      <c r="B433" s="8" t="s">
        <v>1063</v>
      </c>
      <c r="C433" s="8">
        <v>100</v>
      </c>
    </row>
    <row r="434" spans="1:3" x14ac:dyDescent="0.25">
      <c r="A434" s="8" t="s">
        <v>626</v>
      </c>
      <c r="B434" s="8" t="s">
        <v>989</v>
      </c>
      <c r="C434" s="8">
        <v>100</v>
      </c>
    </row>
    <row r="435" spans="1:3" x14ac:dyDescent="0.25">
      <c r="A435" s="8" t="s">
        <v>309</v>
      </c>
      <c r="B435" s="8" t="s">
        <v>108</v>
      </c>
      <c r="C435" s="8">
        <v>83</v>
      </c>
    </row>
    <row r="436" spans="1:3" x14ac:dyDescent="0.25">
      <c r="A436" s="8" t="s">
        <v>553</v>
      </c>
      <c r="B436" s="8" t="s">
        <v>1072</v>
      </c>
      <c r="C436" s="8">
        <v>0</v>
      </c>
    </row>
    <row r="437" spans="1:3" x14ac:dyDescent="0.25">
      <c r="A437" s="8" t="s">
        <v>310</v>
      </c>
      <c r="B437" s="8" t="s">
        <v>39</v>
      </c>
      <c r="C437" s="8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71B0-1222-4A10-8529-0BEA6CAB0358}">
  <dimension ref="A1:I70"/>
  <sheetViews>
    <sheetView topLeftCell="B1" workbookViewId="0">
      <selection activeCell="E26" sqref="C1:I70"/>
    </sheetView>
  </sheetViews>
  <sheetFormatPr defaultRowHeight="15" x14ac:dyDescent="0.25"/>
  <cols>
    <col min="1" max="1" width="21.85546875" hidden="1" customWidth="1"/>
    <col min="3" max="3" width="8.42578125" customWidth="1"/>
    <col min="4" max="4" width="22.140625" customWidth="1"/>
    <col min="5" max="5" width="17.85546875" customWidth="1"/>
    <col min="6" max="6" width="15.42578125" bestFit="1" customWidth="1"/>
    <col min="7" max="7" width="19.7109375" customWidth="1"/>
    <col min="8" max="8" width="21.5703125" bestFit="1" customWidth="1"/>
    <col min="9" max="9" width="14.7109375" customWidth="1"/>
  </cols>
  <sheetData>
    <row r="1" spans="1:9" x14ac:dyDescent="0.25">
      <c r="C1" s="48" t="s">
        <v>140</v>
      </c>
      <c r="D1" s="48"/>
      <c r="E1" s="48"/>
      <c r="F1" s="48"/>
      <c r="G1" s="48"/>
      <c r="H1" s="48"/>
      <c r="I1" s="48"/>
    </row>
    <row r="2" spans="1:9" x14ac:dyDescent="0.25">
      <c r="C2" s="48" t="s">
        <v>141</v>
      </c>
      <c r="D2" s="48"/>
      <c r="E2" s="48"/>
      <c r="F2" s="48"/>
      <c r="G2" s="48"/>
      <c r="H2" s="48"/>
      <c r="I2" s="48"/>
    </row>
    <row r="3" spans="1:9" x14ac:dyDescent="0.25">
      <c r="C3" s="49">
        <f ca="1">TODAY()</f>
        <v>46178</v>
      </c>
      <c r="D3" s="49"/>
      <c r="E3" s="49"/>
      <c r="F3" s="49"/>
      <c r="G3" s="49"/>
      <c r="H3" s="49"/>
      <c r="I3" s="49"/>
    </row>
    <row r="4" spans="1:9" s="5" customFormat="1" x14ac:dyDescent="0.25">
      <c r="C4" s="3" t="s">
        <v>142</v>
      </c>
      <c r="D4" s="3" t="s">
        <v>0</v>
      </c>
      <c r="E4" s="3" t="s">
        <v>139</v>
      </c>
      <c r="F4" s="3" t="s">
        <v>138</v>
      </c>
      <c r="G4" s="4" t="s">
        <v>4</v>
      </c>
      <c r="H4" s="4" t="s">
        <v>5</v>
      </c>
      <c r="I4" s="3" t="s">
        <v>143</v>
      </c>
    </row>
    <row r="5" spans="1:9" x14ac:dyDescent="0.25">
      <c r="A5" t="s">
        <v>146</v>
      </c>
      <c r="C5" s="6">
        <v>1</v>
      </c>
      <c r="D5" s="7" t="s">
        <v>13</v>
      </c>
      <c r="E5" s="6" t="str">
        <f>VLOOKUP(A5,COV!$1:$1048576,2,0)</f>
        <v>RJ47GA7242</v>
      </c>
      <c r="F5" s="6">
        <f>VLOOKUP(A5,COV!$1:$1048576,3,0)</f>
        <v>89</v>
      </c>
      <c r="G5" s="6">
        <f>VLOOKUP(E5,DISTANCE!$1:$1048576,5,0)</f>
        <v>14.65</v>
      </c>
      <c r="H5" s="6">
        <f>VLOOKUP(E5,DISTANCE!$1:$1048576,6,0)</f>
        <v>4.34</v>
      </c>
      <c r="I5" s="7" t="str">
        <f t="shared" ref="I5" si="0">IF(F5&lt;70,"DRIVER FAULT","")</f>
        <v/>
      </c>
    </row>
    <row r="6" spans="1:9" x14ac:dyDescent="0.25">
      <c r="A6" t="s">
        <v>147</v>
      </c>
      <c r="C6" s="6">
        <v>2</v>
      </c>
      <c r="D6" s="7" t="s">
        <v>13</v>
      </c>
      <c r="E6" s="6" t="str">
        <f>VLOOKUP(A6,COV!$1:$1048576,2,0)</f>
        <v>RJ47GA7293</v>
      </c>
      <c r="F6" s="6">
        <f>VLOOKUP(A6,COV!$1:$1048576,3,0)</f>
        <v>81</v>
      </c>
      <c r="G6" s="6">
        <f>VLOOKUP(E6,DISTANCE!$1:$1048576,5,0)</f>
        <v>18.75</v>
      </c>
      <c r="H6" s="6">
        <f>VLOOKUP(E6,DISTANCE!$1:$1048576,6,0)</f>
        <v>5.42</v>
      </c>
      <c r="I6" s="7" t="str">
        <f t="shared" ref="I6:I9" si="1">IF(F6&lt;70,"DRIVER FAULT","")</f>
        <v/>
      </c>
    </row>
    <row r="7" spans="1:9" x14ac:dyDescent="0.25">
      <c r="A7" t="s">
        <v>148</v>
      </c>
      <c r="C7" s="6">
        <v>3</v>
      </c>
      <c r="D7" s="7" t="s">
        <v>13</v>
      </c>
      <c r="E7" s="6" t="str">
        <f>VLOOKUP(A7,COV!$1:$1048576,2,0)</f>
        <v>RJ47GA7227</v>
      </c>
      <c r="F7" s="6">
        <f>VLOOKUP(A7,COV!$1:$1048576,3,0)</f>
        <v>81</v>
      </c>
      <c r="G7" s="6">
        <f>VLOOKUP(E7,DISTANCE!$1:$1048576,5,0)</f>
        <v>21.08</v>
      </c>
      <c r="H7" s="6">
        <f>VLOOKUP(E7,DISTANCE!$1:$1048576,6,0)</f>
        <v>3.18</v>
      </c>
      <c r="I7" s="7" t="str">
        <f t="shared" si="1"/>
        <v/>
      </c>
    </row>
    <row r="8" spans="1:9" x14ac:dyDescent="0.25">
      <c r="A8" t="s">
        <v>149</v>
      </c>
      <c r="C8" s="6">
        <v>4</v>
      </c>
      <c r="D8" s="7" t="s">
        <v>42</v>
      </c>
      <c r="E8" s="6" t="str">
        <f>VLOOKUP(A8,COV!$1:$1048576,2,0)</f>
        <v>RJ47GA7188</v>
      </c>
      <c r="F8" s="6">
        <f>VLOOKUP(A8,COV!$1:$1048576,3,0)</f>
        <v>83</v>
      </c>
      <c r="G8" s="6">
        <f>VLOOKUP(E8,DISTANCE!$1:$1048576,5,0)</f>
        <v>19.87</v>
      </c>
      <c r="H8" s="6">
        <f>VLOOKUP(E8,DISTANCE!$1:$1048576,6,0)</f>
        <v>1.26</v>
      </c>
      <c r="I8" s="7" t="str">
        <f t="shared" ref="I8:I11" si="2">IF(F8&lt;70,"DRIVER FAULT","")</f>
        <v/>
      </c>
    </row>
    <row r="9" spans="1:9" x14ac:dyDescent="0.25">
      <c r="A9" t="s">
        <v>150</v>
      </c>
      <c r="C9" s="6">
        <v>5</v>
      </c>
      <c r="D9" s="7" t="s">
        <v>42</v>
      </c>
      <c r="E9" s="6" t="str">
        <f>VLOOKUP(A9,COV!$1:$1048576,2,0)</f>
        <v>RJ47GA7177</v>
      </c>
      <c r="F9" s="6">
        <f>VLOOKUP(A9,COV!$1:$1048576,3,0)</f>
        <v>90</v>
      </c>
      <c r="G9" s="6">
        <f>VLOOKUP(E9,DISTANCE!$1:$1048576,5,0)</f>
        <v>46.87</v>
      </c>
      <c r="H9" s="6">
        <f>VLOOKUP(E9,DISTANCE!$1:$1048576,6,0)</f>
        <v>3.78</v>
      </c>
      <c r="I9" s="7" t="str">
        <f t="shared" si="2"/>
        <v/>
      </c>
    </row>
    <row r="10" spans="1:9" x14ac:dyDescent="0.25">
      <c r="A10" t="s">
        <v>151</v>
      </c>
      <c r="C10" s="6">
        <v>6</v>
      </c>
      <c r="D10" s="7" t="s">
        <v>67</v>
      </c>
      <c r="E10" s="6" t="str">
        <f>VLOOKUP(A10,COV!$1:$1048576,2,0)</f>
        <v>RJ47GA7236</v>
      </c>
      <c r="F10" s="6">
        <f>VLOOKUP(A10,COV!$1:$1048576,3,0)</f>
        <v>74</v>
      </c>
      <c r="G10" s="6">
        <f>VLOOKUP(E10,DISTANCE!$1:$1048576,5,0)</f>
        <v>18.12</v>
      </c>
      <c r="H10" s="6">
        <f>VLOOKUP(E10,DISTANCE!$1:$1048576,6,0)</f>
        <v>2.23</v>
      </c>
      <c r="I10" s="7" t="str">
        <f t="shared" si="2"/>
        <v/>
      </c>
    </row>
    <row r="11" spans="1:9" x14ac:dyDescent="0.25">
      <c r="A11" t="s">
        <v>152</v>
      </c>
      <c r="C11" s="6">
        <v>7</v>
      </c>
      <c r="D11" s="7" t="s">
        <v>67</v>
      </c>
      <c r="E11" s="6" t="str">
        <f>VLOOKUP(A11,COV!$1:$1048576,2,0)</f>
        <v>RJ47GA7170</v>
      </c>
      <c r="F11" s="6">
        <f>VLOOKUP(A11,COV!$1:$1048576,3,0)</f>
        <v>100</v>
      </c>
      <c r="G11" s="6">
        <f>VLOOKUP(E11,DISTANCE!$1:$1048576,5,0)</f>
        <v>22.33</v>
      </c>
      <c r="H11" s="6">
        <f>VLOOKUP(E11,DISTANCE!$1:$1048576,6,0)</f>
        <v>1.42</v>
      </c>
      <c r="I11" s="7" t="str">
        <f t="shared" si="2"/>
        <v/>
      </c>
    </row>
    <row r="12" spans="1:9" x14ac:dyDescent="0.25">
      <c r="A12" t="s">
        <v>153</v>
      </c>
      <c r="C12" s="6">
        <v>8</v>
      </c>
      <c r="D12" s="7" t="s">
        <v>67</v>
      </c>
      <c r="E12" s="6" t="str">
        <f>VLOOKUP(A12,COV!$1:$1048576,2,0)</f>
        <v>RJ47GA7198</v>
      </c>
      <c r="F12" s="6">
        <f>VLOOKUP(A12,COV!$1:$1048576,3,0)</f>
        <v>81</v>
      </c>
      <c r="G12" s="6">
        <f>VLOOKUP(E12,DISTANCE!$1:$1048576,5,0)</f>
        <v>25.78</v>
      </c>
      <c r="H12" s="6">
        <f>VLOOKUP(E12,DISTANCE!$1:$1048576,6,0)</f>
        <v>6.75</v>
      </c>
      <c r="I12" s="7" t="str">
        <f t="shared" ref="I11:I15" si="3">IF(F12&lt;70,"DRIVER FAULT","")</f>
        <v/>
      </c>
    </row>
    <row r="13" spans="1:9" x14ac:dyDescent="0.25">
      <c r="A13" t="s">
        <v>154</v>
      </c>
      <c r="C13" s="6">
        <v>9</v>
      </c>
      <c r="D13" s="7" t="s">
        <v>71</v>
      </c>
      <c r="E13" s="6" t="str">
        <f>VLOOKUP(A13,COV!$1:$1048576,2,0)</f>
        <v>RJ47GA7279</v>
      </c>
      <c r="F13" s="6">
        <f>VLOOKUP(A13,COV!$1:$1048576,3,0)</f>
        <v>94</v>
      </c>
      <c r="G13" s="6">
        <f>VLOOKUP(E13,DISTANCE!$1:$1048576,5,0)</f>
        <v>36.9</v>
      </c>
      <c r="H13" s="6">
        <f>VLOOKUP(E13,DISTANCE!$1:$1048576,6,0)</f>
        <v>5.16</v>
      </c>
      <c r="I13" s="7" t="str">
        <f t="shared" si="3"/>
        <v/>
      </c>
    </row>
    <row r="14" spans="1:9" x14ac:dyDescent="0.25">
      <c r="A14" t="s">
        <v>155</v>
      </c>
      <c r="C14" s="6">
        <v>10</v>
      </c>
      <c r="D14" s="7" t="s">
        <v>71</v>
      </c>
      <c r="E14" s="6" t="str">
        <f>VLOOKUP(A14,COV!$1:$1048576,2,0)</f>
        <v>RJ47GA7200</v>
      </c>
      <c r="F14" s="6">
        <f>VLOOKUP(A14,COV!$1:$1048576,3,0)</f>
        <v>94</v>
      </c>
      <c r="G14" s="6">
        <f>VLOOKUP(E14,DISTANCE!$1:$1048576,5,0)</f>
        <v>32.65</v>
      </c>
      <c r="H14" s="6">
        <f>VLOOKUP(E14,DISTANCE!$1:$1048576,6,0)</f>
        <v>3.76</v>
      </c>
      <c r="I14" s="7" t="str">
        <f t="shared" si="3"/>
        <v/>
      </c>
    </row>
    <row r="15" spans="1:9" x14ac:dyDescent="0.25">
      <c r="A15" t="s">
        <v>157</v>
      </c>
      <c r="C15" s="6">
        <v>11</v>
      </c>
      <c r="D15" s="7" t="s">
        <v>27</v>
      </c>
      <c r="E15" s="6" t="str">
        <f>VLOOKUP(A15,COV!$1:$1048576,2,0)</f>
        <v>RJ47GA7335</v>
      </c>
      <c r="F15" s="6">
        <f>VLOOKUP(A15,COV!$1:$1048576,3,0)</f>
        <v>100</v>
      </c>
      <c r="G15" s="6">
        <f>VLOOKUP(E15,DISTANCE!$1:$1048576,5,0)</f>
        <v>23.87</v>
      </c>
      <c r="H15" s="6">
        <f>VLOOKUP(E15,DISTANCE!$1:$1048576,6,0)</f>
        <v>3.63</v>
      </c>
      <c r="I15" s="7" t="str">
        <f t="shared" si="3"/>
        <v/>
      </c>
    </row>
    <row r="16" spans="1:9" x14ac:dyDescent="0.25">
      <c r="A16" t="s">
        <v>156</v>
      </c>
      <c r="C16" s="6">
        <v>12</v>
      </c>
      <c r="D16" s="7" t="s">
        <v>27</v>
      </c>
      <c r="E16" s="6" t="str">
        <f>VLOOKUP(A16,COV!$1:$1048576,2,0)</f>
        <v>RJ47GA7289</v>
      </c>
      <c r="F16" s="50" t="s">
        <v>758</v>
      </c>
      <c r="G16" s="51"/>
      <c r="H16" s="51"/>
      <c r="I16" s="52"/>
    </row>
    <row r="17" spans="1:9" x14ac:dyDescent="0.25">
      <c r="A17" t="s">
        <v>159</v>
      </c>
      <c r="C17" s="6">
        <v>13</v>
      </c>
      <c r="D17" s="7" t="s">
        <v>38</v>
      </c>
      <c r="E17" s="6" t="str">
        <f>VLOOKUP(A17,COV!$1:$1048576,2,0)</f>
        <v>RJ47GA7191</v>
      </c>
      <c r="F17" s="6">
        <f>VLOOKUP(A17,COV!$1:$1048576,3,0)</f>
        <v>90</v>
      </c>
      <c r="G17" s="6">
        <f>VLOOKUP(E17,DISTANCE!$1:$1048576,5,0)</f>
        <v>15.18</v>
      </c>
      <c r="H17" s="6">
        <f>VLOOKUP(E17,DISTANCE!$1:$1048576,6,0)</f>
        <v>6.08</v>
      </c>
      <c r="I17" s="7" t="str">
        <f t="shared" ref="I17:I52" si="4">IF(F17&lt;70,"DRIVER FAULT","")</f>
        <v/>
      </c>
    </row>
    <row r="18" spans="1:9" x14ac:dyDescent="0.25">
      <c r="A18" t="s">
        <v>158</v>
      </c>
      <c r="C18" s="6">
        <v>14</v>
      </c>
      <c r="D18" s="7" t="s">
        <v>38</v>
      </c>
      <c r="E18" s="6" t="str">
        <f>VLOOKUP(A18,COV!$1:$1048576,2,0)</f>
        <v>RJ47GA7282</v>
      </c>
      <c r="F18" s="6">
        <f>VLOOKUP(A18,COV!$1:$1048576,3,0)</f>
        <v>87</v>
      </c>
      <c r="G18" s="6">
        <f>VLOOKUP(E18,DISTANCE!$1:$1048576,5,0)</f>
        <v>26.09</v>
      </c>
      <c r="H18" s="6">
        <f>VLOOKUP(E18,DISTANCE!$1:$1048576,6,0)</f>
        <v>4.5</v>
      </c>
      <c r="I18" s="7" t="str">
        <f t="shared" si="4"/>
        <v/>
      </c>
    </row>
    <row r="19" spans="1:9" x14ac:dyDescent="0.25">
      <c r="A19" t="s">
        <v>161</v>
      </c>
      <c r="C19" s="6">
        <v>15</v>
      </c>
      <c r="D19" s="7" t="s">
        <v>46</v>
      </c>
      <c r="E19" s="6" t="str">
        <f>VLOOKUP(A19,COV!$1:$1048576,2,0)</f>
        <v>RJ47GA7243</v>
      </c>
      <c r="F19" s="6">
        <f>VLOOKUP(A19,COV!$1:$1048576,3,0)</f>
        <v>96</v>
      </c>
      <c r="G19" s="6">
        <f>VLOOKUP(E19,DISTANCE!$1:$1048576,5,0)</f>
        <v>17.48</v>
      </c>
      <c r="H19" s="6">
        <f>VLOOKUP(E19,DISTANCE!$1:$1048576,6,0)</f>
        <v>4.58</v>
      </c>
      <c r="I19" s="7" t="str">
        <f t="shared" si="4"/>
        <v/>
      </c>
    </row>
    <row r="20" spans="1:9" x14ac:dyDescent="0.25">
      <c r="A20" t="s">
        <v>160</v>
      </c>
      <c r="C20" s="6">
        <v>16</v>
      </c>
      <c r="D20" s="7" t="s">
        <v>46</v>
      </c>
      <c r="E20" s="6" t="str">
        <f>VLOOKUP(A20,COV!$1:$1048576,2,0)</f>
        <v>RJ47GA7274</v>
      </c>
      <c r="F20" s="6">
        <f>VLOOKUP(A20,COV!$1:$1048576,3,0)</f>
        <v>88</v>
      </c>
      <c r="G20" s="6">
        <f>VLOOKUP(E20,DISTANCE!$1:$1048576,5,0)</f>
        <v>13.62</v>
      </c>
      <c r="H20" s="6">
        <f>VLOOKUP(E20,DISTANCE!$1:$1048576,6,0)</f>
        <v>1.81</v>
      </c>
      <c r="I20" s="7" t="str">
        <f t="shared" si="4"/>
        <v/>
      </c>
    </row>
    <row r="21" spans="1:9" x14ac:dyDescent="0.25">
      <c r="A21" t="s">
        <v>164</v>
      </c>
      <c r="C21" s="6">
        <v>17</v>
      </c>
      <c r="D21" s="7" t="s">
        <v>82</v>
      </c>
      <c r="E21" s="6" t="str">
        <f>VLOOKUP(A21,COV!$1:$1048576,2,0)</f>
        <v>RJ47GA7288SW</v>
      </c>
      <c r="F21" s="6">
        <f>VLOOKUP(A21,COV!$1:$1048576,3,0)</f>
        <v>92</v>
      </c>
      <c r="G21" s="6">
        <f>VLOOKUP(E21,DISTANCE!$1:$1048576,5,0)</f>
        <v>26.77</v>
      </c>
      <c r="H21" s="6">
        <f>VLOOKUP(E21,DISTANCE!$1:$1048576,6,0)</f>
        <v>3.94</v>
      </c>
      <c r="I21" s="7" t="str">
        <f t="shared" si="4"/>
        <v/>
      </c>
    </row>
    <row r="22" spans="1:9" x14ac:dyDescent="0.25">
      <c r="A22" t="s">
        <v>162</v>
      </c>
      <c r="C22" s="6">
        <v>18</v>
      </c>
      <c r="D22" s="7" t="s">
        <v>82</v>
      </c>
      <c r="E22" s="6" t="str">
        <f>VLOOKUP(A22,COV!$1:$1048576,2,0)</f>
        <v>RJ47GA7178</v>
      </c>
      <c r="F22" s="6">
        <f>VLOOKUP(A22,COV!$1:$1048576,3,0)</f>
        <v>95</v>
      </c>
      <c r="G22" s="6">
        <f>VLOOKUP(E22,DISTANCE!$1:$1048576,5,0)</f>
        <v>23.1</v>
      </c>
      <c r="H22" s="6">
        <f>VLOOKUP(E22,DISTANCE!$1:$1048576,6,0)</f>
        <v>3.69</v>
      </c>
      <c r="I22" s="7" t="str">
        <f t="shared" si="4"/>
        <v/>
      </c>
    </row>
    <row r="23" spans="1:9" x14ac:dyDescent="0.25">
      <c r="A23" t="s">
        <v>163</v>
      </c>
      <c r="C23" s="6">
        <v>19</v>
      </c>
      <c r="D23" s="7" t="s">
        <v>82</v>
      </c>
      <c r="E23" s="6" t="str">
        <f>VLOOKUP(A23,COV!$1:$1048576,2,0)</f>
        <v>RJ47GA7180</v>
      </c>
      <c r="F23" s="6">
        <f>VLOOKUP(A23,COV!$1:$1048576,3,0)</f>
        <v>97</v>
      </c>
      <c r="G23" s="6">
        <f>VLOOKUP(E23,DISTANCE!$1:$1048576,5,0)</f>
        <v>30.3</v>
      </c>
      <c r="H23" s="6">
        <f>VLOOKUP(E23,DISTANCE!$1:$1048576,6,0)</f>
        <v>3.39</v>
      </c>
      <c r="I23" s="7" t="str">
        <f t="shared" si="4"/>
        <v/>
      </c>
    </row>
    <row r="24" spans="1:9" x14ac:dyDescent="0.25">
      <c r="A24" t="s">
        <v>165</v>
      </c>
      <c r="C24" s="6">
        <v>20</v>
      </c>
      <c r="D24" s="7" t="s">
        <v>41</v>
      </c>
      <c r="E24" s="6" t="str">
        <f>VLOOKUP(A24,COV!$1:$1048576,2,0)</f>
        <v>RJ47GA7331</v>
      </c>
      <c r="F24" s="6">
        <f>VLOOKUP(A24,COV!$1:$1048576,3,0)</f>
        <v>94</v>
      </c>
      <c r="G24" s="6">
        <f>VLOOKUP(E24,DISTANCE!$1:$1048576,5,0)</f>
        <v>25.12</v>
      </c>
      <c r="H24" s="6">
        <f>VLOOKUP(E24,DISTANCE!$1:$1048576,6,0)</f>
        <v>5.5</v>
      </c>
      <c r="I24" s="7" t="str">
        <f t="shared" si="4"/>
        <v/>
      </c>
    </row>
    <row r="25" spans="1:9" x14ac:dyDescent="0.25">
      <c r="A25" t="s">
        <v>166</v>
      </c>
      <c r="C25" s="6">
        <v>21</v>
      </c>
      <c r="D25" s="7" t="s">
        <v>41</v>
      </c>
      <c r="E25" s="6" t="str">
        <f>VLOOKUP(A25,COV!$1:$1048576,2,0)</f>
        <v>RJ47GA7342</v>
      </c>
      <c r="F25" s="6">
        <f>VLOOKUP(A25,COV!$1:$1048576,3,0)</f>
        <v>83</v>
      </c>
      <c r="G25" s="6">
        <f>VLOOKUP(E25,DISTANCE!$1:$1048576,5,0)</f>
        <v>29.66</v>
      </c>
      <c r="H25" s="6">
        <f>VLOOKUP(E25,DISTANCE!$1:$1048576,6,0)</f>
        <v>4.24</v>
      </c>
      <c r="I25" s="7" t="str">
        <f t="shared" si="4"/>
        <v/>
      </c>
    </row>
    <row r="26" spans="1:9" x14ac:dyDescent="0.25">
      <c r="A26" t="s">
        <v>168</v>
      </c>
      <c r="C26" s="6">
        <v>22</v>
      </c>
      <c r="D26" s="7" t="s">
        <v>10</v>
      </c>
      <c r="E26" s="6" t="str">
        <f>VLOOKUP(A26,COV!$1:$1048576,2,0)</f>
        <v>RJ47GA7192</v>
      </c>
      <c r="F26" s="6">
        <f>VLOOKUP(A26,COV!$1:$1048576,3,0)</f>
        <v>96</v>
      </c>
      <c r="G26" s="6">
        <f>VLOOKUP(E26,DISTANCE!$1:$1048576,5,0)</f>
        <v>18.86</v>
      </c>
      <c r="H26" s="6">
        <f>VLOOKUP(E26,DISTANCE!$1:$1048576,6,0)</f>
        <v>3.77</v>
      </c>
      <c r="I26" s="7" t="str">
        <f t="shared" si="4"/>
        <v/>
      </c>
    </row>
    <row r="27" spans="1:9" x14ac:dyDescent="0.25">
      <c r="A27" t="s">
        <v>167</v>
      </c>
      <c r="C27" s="6">
        <v>23</v>
      </c>
      <c r="D27" s="7" t="s">
        <v>10</v>
      </c>
      <c r="E27" s="6" t="str">
        <f>VLOOKUP(A27,COV!$1:$1048576,2,0)</f>
        <v>RJ47GA7270</v>
      </c>
      <c r="F27" s="6">
        <f>VLOOKUP(A27,COV!$1:$1048576,3,0)</f>
        <v>89</v>
      </c>
      <c r="G27" s="6">
        <f>VLOOKUP(E27,DISTANCE!$1:$1048576,5,0)</f>
        <v>12.48</v>
      </c>
      <c r="H27" s="6">
        <f>VLOOKUP(E27,DISTANCE!$1:$1048576,6,0)</f>
        <v>2.61</v>
      </c>
      <c r="I27" s="7" t="str">
        <f t="shared" si="4"/>
        <v/>
      </c>
    </row>
    <row r="28" spans="1:9" x14ac:dyDescent="0.25">
      <c r="A28" t="s">
        <v>171</v>
      </c>
      <c r="C28" s="6">
        <v>24</v>
      </c>
      <c r="D28" s="7" t="s">
        <v>12</v>
      </c>
      <c r="E28" s="6" t="str">
        <f>VLOOKUP(A28,COV!$1:$1048576,2,0)</f>
        <v>RJ47GA7176</v>
      </c>
      <c r="F28" s="6">
        <f>VLOOKUP(A28,COV!$1:$1048576,3,0)</f>
        <v>100</v>
      </c>
      <c r="G28" s="6">
        <f>VLOOKUP(E28,DISTANCE!$1:$1048576,5,0)</f>
        <v>13.78</v>
      </c>
      <c r="H28" s="6">
        <f>VLOOKUP(E28,DISTANCE!$1:$1048576,6,0)</f>
        <v>3.39</v>
      </c>
      <c r="I28" s="7" t="str">
        <f t="shared" si="4"/>
        <v/>
      </c>
    </row>
    <row r="29" spans="1:9" x14ac:dyDescent="0.25">
      <c r="A29" t="s">
        <v>170</v>
      </c>
      <c r="C29" s="6">
        <v>25</v>
      </c>
      <c r="D29" s="7" t="s">
        <v>12</v>
      </c>
      <c r="E29" s="6" t="str">
        <f>VLOOKUP(A29,COV!$1:$1048576,2,0)</f>
        <v>RJ47GA7182</v>
      </c>
      <c r="F29" s="6">
        <f>VLOOKUP(A29,COV!$1:$1048576,3,0)</f>
        <v>91</v>
      </c>
      <c r="G29" s="6">
        <f>VLOOKUP(E29,DISTANCE!$1:$1048576,5,0)</f>
        <v>60.22</v>
      </c>
      <c r="H29" s="6">
        <f>VLOOKUP(E29,DISTANCE!$1:$1048576,6,0)</f>
        <v>8.48</v>
      </c>
      <c r="I29" s="7" t="str">
        <f t="shared" si="4"/>
        <v/>
      </c>
    </row>
    <row r="30" spans="1:9" x14ac:dyDescent="0.25">
      <c r="A30" t="s">
        <v>169</v>
      </c>
      <c r="C30" s="6">
        <v>26</v>
      </c>
      <c r="D30" s="7" t="s">
        <v>12</v>
      </c>
      <c r="E30" s="6" t="str">
        <f>VLOOKUP(A30,COV!$1:$1048576,2,0)</f>
        <v>RJ47GA7193</v>
      </c>
      <c r="F30" s="6">
        <f>VLOOKUP(A30,COV!$1:$1048576,3,0)</f>
        <v>93</v>
      </c>
      <c r="G30" s="6">
        <f>VLOOKUP(E30,DISTANCE!$1:$1048576,5,0)</f>
        <v>22.18</v>
      </c>
      <c r="H30" s="6">
        <f>VLOOKUP(E30,DISTANCE!$1:$1048576,6,0)</f>
        <v>5.22</v>
      </c>
      <c r="I30" s="7" t="str">
        <f t="shared" si="4"/>
        <v/>
      </c>
    </row>
    <row r="31" spans="1:9" x14ac:dyDescent="0.25">
      <c r="A31" t="s">
        <v>172</v>
      </c>
      <c r="C31" s="6">
        <v>27</v>
      </c>
      <c r="D31" s="7" t="s">
        <v>31</v>
      </c>
      <c r="E31" s="6" t="str">
        <f>VLOOKUP(A31,COV!$1:$1048576,2,0)</f>
        <v>RJ47GA7174</v>
      </c>
      <c r="F31" s="6">
        <f>VLOOKUP(A31,COV!$1:$1048576,3,0)</f>
        <v>90</v>
      </c>
      <c r="G31" s="6">
        <f>VLOOKUP(E31,DISTANCE!$1:$1048576,5,0)</f>
        <v>30.61</v>
      </c>
      <c r="H31" s="6">
        <f>VLOOKUP(E31,DISTANCE!$1:$1048576,6,0)</f>
        <v>4.5</v>
      </c>
      <c r="I31" s="7" t="str">
        <f t="shared" si="4"/>
        <v/>
      </c>
    </row>
    <row r="32" spans="1:9" x14ac:dyDescent="0.25">
      <c r="A32" t="s">
        <v>173</v>
      </c>
      <c r="C32" s="6">
        <v>28</v>
      </c>
      <c r="D32" s="7" t="s">
        <v>31</v>
      </c>
      <c r="E32" s="6" t="str">
        <f>VLOOKUP(A32,COV!$1:$1048576,2,0)</f>
        <v>RJ47GA7186</v>
      </c>
      <c r="F32" s="6">
        <f>VLOOKUP(A32,COV!$1:$1048576,3,0)</f>
        <v>95</v>
      </c>
      <c r="G32" s="6">
        <f>VLOOKUP(E32,DISTANCE!$1:$1048576,5,0)</f>
        <v>27.85</v>
      </c>
      <c r="H32" s="6">
        <f>VLOOKUP(E32,DISTANCE!$1:$1048576,6,0)</f>
        <v>4.04</v>
      </c>
      <c r="I32" s="7" t="str">
        <f t="shared" si="4"/>
        <v/>
      </c>
    </row>
    <row r="33" spans="1:9" x14ac:dyDescent="0.25">
      <c r="A33" t="s">
        <v>174</v>
      </c>
      <c r="C33" s="6">
        <v>29</v>
      </c>
      <c r="D33" s="7" t="s">
        <v>66</v>
      </c>
      <c r="E33" s="6" t="str">
        <f>VLOOKUP(A33,COV!$1:$1048576,2,0)</f>
        <v>RJ47GA7283</v>
      </c>
      <c r="F33" s="6">
        <f>VLOOKUP(A33,COV!$1:$1048576,3,0)</f>
        <v>100</v>
      </c>
      <c r="G33" s="6">
        <f>VLOOKUP(E33,DISTANCE!$1:$1048576,5,0)</f>
        <v>22</v>
      </c>
      <c r="H33" s="6">
        <f>VLOOKUP(E33,DISTANCE!$1:$1048576,6,0)</f>
        <v>1.47</v>
      </c>
      <c r="I33" s="7" t="str">
        <f t="shared" si="4"/>
        <v/>
      </c>
    </row>
    <row r="34" spans="1:9" x14ac:dyDescent="0.25">
      <c r="A34" t="s">
        <v>175</v>
      </c>
      <c r="C34" s="6">
        <v>30</v>
      </c>
      <c r="D34" s="7" t="s">
        <v>66</v>
      </c>
      <c r="E34" s="6" t="str">
        <f>VLOOKUP(A34,COV!$1:$1048576,2,0)</f>
        <v>RJ47GA7292</v>
      </c>
      <c r="F34" s="6">
        <f>VLOOKUP(A34,COV!$1:$1048576,3,0)</f>
        <v>100</v>
      </c>
      <c r="G34" s="6">
        <f>VLOOKUP(E34,DISTANCE!$1:$1048576,5,0)</f>
        <v>23.52</v>
      </c>
      <c r="H34" s="6">
        <f>VLOOKUP(E34,DISTANCE!$1:$1048576,6,0)</f>
        <v>5.26</v>
      </c>
      <c r="I34" s="7" t="str">
        <f t="shared" si="4"/>
        <v/>
      </c>
    </row>
    <row r="35" spans="1:9" x14ac:dyDescent="0.25">
      <c r="A35" t="s">
        <v>176</v>
      </c>
      <c r="C35" s="6">
        <v>31</v>
      </c>
      <c r="D35" s="7" t="s">
        <v>73</v>
      </c>
      <c r="E35" s="6" t="str">
        <f>VLOOKUP(A35,COV!$1:$1048576,2,0)</f>
        <v>RJ47GA7271</v>
      </c>
      <c r="F35" s="6">
        <f>VLOOKUP(A35,COV!$1:$1048576,3,0)</f>
        <v>100</v>
      </c>
      <c r="G35" s="6">
        <f>VLOOKUP(E35,DISTANCE!$1:$1048576,5,0)</f>
        <v>27.13</v>
      </c>
      <c r="H35" s="6">
        <f>VLOOKUP(E35,DISTANCE!$1:$1048576,6,0)</f>
        <v>3.53</v>
      </c>
      <c r="I35" s="7" t="str">
        <f t="shared" si="4"/>
        <v/>
      </c>
    </row>
    <row r="36" spans="1:9" x14ac:dyDescent="0.25">
      <c r="A36" t="s">
        <v>177</v>
      </c>
      <c r="C36" s="6">
        <v>32</v>
      </c>
      <c r="D36" s="7" t="s">
        <v>73</v>
      </c>
      <c r="E36" s="6" t="str">
        <f>VLOOKUP(A36,COV!$1:$1048576,2,0)</f>
        <v>RJ47GA7285</v>
      </c>
      <c r="F36" s="6">
        <f>VLOOKUP(A36,COV!$1:$1048576,3,0)</f>
        <v>100</v>
      </c>
      <c r="G36" s="6">
        <f>VLOOKUP(E36,DISTANCE!$1:$1048576,5,0)</f>
        <v>25.62</v>
      </c>
      <c r="H36" s="6">
        <f>VLOOKUP(E36,DISTANCE!$1:$1048576,6,0)</f>
        <v>4.6500000000000004</v>
      </c>
      <c r="I36" s="7" t="str">
        <f t="shared" si="4"/>
        <v/>
      </c>
    </row>
    <row r="37" spans="1:9" x14ac:dyDescent="0.25">
      <c r="A37" t="s">
        <v>178</v>
      </c>
      <c r="C37" s="6">
        <v>33</v>
      </c>
      <c r="D37" s="7" t="s">
        <v>29</v>
      </c>
      <c r="E37" s="6" t="str">
        <f>VLOOKUP(A37,COV!$1:$1048576,2,0)</f>
        <v>RJ47GA7235</v>
      </c>
      <c r="F37" s="6">
        <f>VLOOKUP(A37,COV!$1:$1048576,3,0)</f>
        <v>92</v>
      </c>
      <c r="G37" s="6">
        <f>VLOOKUP(E37,DISTANCE!$1:$1048576,5,0)</f>
        <v>25.85</v>
      </c>
      <c r="H37" s="6">
        <f>VLOOKUP(E37,DISTANCE!$1:$1048576,6,0)</f>
        <v>3.47</v>
      </c>
      <c r="I37" s="7" t="str">
        <f t="shared" si="4"/>
        <v/>
      </c>
    </row>
    <row r="38" spans="1:9" x14ac:dyDescent="0.25">
      <c r="A38" t="s">
        <v>179</v>
      </c>
      <c r="C38" s="6">
        <v>34</v>
      </c>
      <c r="D38" s="7" t="s">
        <v>29</v>
      </c>
      <c r="E38" s="6" t="str">
        <f>VLOOKUP(A38,COV!$1:$1048576,2,0)</f>
        <v>RJ47GA7179</v>
      </c>
      <c r="F38" s="6">
        <f>VLOOKUP(A38,COV!$1:$1048576,3,0)</f>
        <v>100</v>
      </c>
      <c r="G38" s="6">
        <f>VLOOKUP(E38,DISTANCE!$1:$1048576,5,0)</f>
        <v>21.49</v>
      </c>
      <c r="H38" s="6">
        <f>VLOOKUP(E38,DISTANCE!$1:$1048576,6,0)</f>
        <v>4.7699999999999996</v>
      </c>
      <c r="I38" s="7" t="str">
        <f t="shared" si="4"/>
        <v/>
      </c>
    </row>
    <row r="39" spans="1:9" x14ac:dyDescent="0.25">
      <c r="A39" t="s">
        <v>180</v>
      </c>
      <c r="C39" s="6">
        <v>35</v>
      </c>
      <c r="D39" s="7" t="s">
        <v>29</v>
      </c>
      <c r="E39" s="6" t="str">
        <f>VLOOKUP(A39,COV!$1:$1048576,2,0)</f>
        <v>RJ47GA7228</v>
      </c>
      <c r="F39" s="6">
        <f>VLOOKUP(A39,COV!$1:$1048576,3,0)</f>
        <v>91</v>
      </c>
      <c r="G39" s="6">
        <f>VLOOKUP(E39,DISTANCE!$1:$1048576,5,0)</f>
        <v>34.04</v>
      </c>
      <c r="H39" s="6">
        <f>VLOOKUP(E39,DISTANCE!$1:$1048576,6,0)</f>
        <v>4.8099999999999996</v>
      </c>
      <c r="I39" s="7" t="str">
        <f t="shared" si="4"/>
        <v/>
      </c>
    </row>
    <row r="40" spans="1:9" x14ac:dyDescent="0.25">
      <c r="A40" t="s">
        <v>181</v>
      </c>
      <c r="C40" s="6">
        <v>36</v>
      </c>
      <c r="D40" s="7" t="s">
        <v>74</v>
      </c>
      <c r="E40" s="6" t="str">
        <f>VLOOKUP(A40,COV!$1:$1048576,2,0)</f>
        <v>RJ47GA7185</v>
      </c>
      <c r="F40" s="6">
        <f>VLOOKUP(A40,COV!$1:$1048576,3,0)</f>
        <v>79</v>
      </c>
      <c r="G40" s="6">
        <f>VLOOKUP(E40,DISTANCE!$1:$1048576,5,0)</f>
        <v>21.51</v>
      </c>
      <c r="H40" s="6">
        <f>VLOOKUP(E40,DISTANCE!$1:$1048576,6,0)</f>
        <v>2.2000000000000002</v>
      </c>
      <c r="I40" s="7" t="str">
        <f t="shared" si="4"/>
        <v/>
      </c>
    </row>
    <row r="41" spans="1:9" x14ac:dyDescent="0.25">
      <c r="A41" t="s">
        <v>182</v>
      </c>
      <c r="C41" s="6">
        <v>37</v>
      </c>
      <c r="D41" s="7" t="s">
        <v>74</v>
      </c>
      <c r="E41" s="6" t="str">
        <f>VLOOKUP(A41,COV!$1:$1048576,2,0)</f>
        <v>RJ47GA7219</v>
      </c>
      <c r="F41" s="6">
        <f>VLOOKUP(A41,COV!$1:$1048576,3,0)</f>
        <v>100</v>
      </c>
      <c r="G41" s="6">
        <f>VLOOKUP(E41,DISTANCE!$1:$1048576,5,0)</f>
        <v>19.22</v>
      </c>
      <c r="H41" s="6">
        <f>VLOOKUP(E41,DISTANCE!$1:$1048576,6,0)</f>
        <v>2.0499999999999998</v>
      </c>
      <c r="I41" s="7" t="str">
        <f t="shared" si="4"/>
        <v/>
      </c>
    </row>
    <row r="42" spans="1:9" x14ac:dyDescent="0.25">
      <c r="A42" t="s">
        <v>183</v>
      </c>
      <c r="C42" s="6">
        <v>38</v>
      </c>
      <c r="D42" s="7" t="s">
        <v>74</v>
      </c>
      <c r="E42" s="6" t="str">
        <f>VLOOKUP(A42,COV!$1:$1048576,2,0)</f>
        <v>RJ47GA7333</v>
      </c>
      <c r="F42" s="6">
        <f>VLOOKUP(A42,COV!$1:$1048576,3,0)</f>
        <v>97</v>
      </c>
      <c r="G42" s="6">
        <f>VLOOKUP(E42,DISTANCE!$1:$1048576,5,0)</f>
        <v>20.100000000000001</v>
      </c>
      <c r="H42" s="6">
        <f>VLOOKUP(E42,DISTANCE!$1:$1048576,6,0)</f>
        <v>2.36</v>
      </c>
      <c r="I42" s="7" t="str">
        <f t="shared" si="4"/>
        <v/>
      </c>
    </row>
    <row r="43" spans="1:9" x14ac:dyDescent="0.25">
      <c r="A43" t="s">
        <v>185</v>
      </c>
      <c r="C43" s="6">
        <v>39</v>
      </c>
      <c r="D43" s="7" t="s">
        <v>23</v>
      </c>
      <c r="E43" s="6" t="str">
        <f>VLOOKUP(A43,COV!$1:$1048576,2,0)</f>
        <v>RJ47GA7297</v>
      </c>
      <c r="F43" s="6">
        <f>VLOOKUP(A43,COV!$1:$1048576,3,0)</f>
        <v>89</v>
      </c>
      <c r="G43" s="6">
        <f>VLOOKUP(E43,DISTANCE!$1:$1048576,5,0)</f>
        <v>27.54</v>
      </c>
      <c r="H43" s="6">
        <f>VLOOKUP(E43,DISTANCE!$1:$1048576,6,0)</f>
        <v>1.75</v>
      </c>
      <c r="I43" s="7" t="str">
        <f t="shared" si="4"/>
        <v/>
      </c>
    </row>
    <row r="44" spans="1:9" x14ac:dyDescent="0.25">
      <c r="A44" t="s">
        <v>184</v>
      </c>
      <c r="C44" s="6">
        <v>40</v>
      </c>
      <c r="D44" s="7" t="s">
        <v>23</v>
      </c>
      <c r="E44" s="6" t="str">
        <f>VLOOKUP(A44,COV!$1:$1048576,2,0)</f>
        <v>RJ47GA7217</v>
      </c>
      <c r="F44" s="6">
        <f>VLOOKUP(A44,COV!$1:$1048576,3,0)</f>
        <v>96</v>
      </c>
      <c r="G44" s="6">
        <f>VLOOKUP(E44,DISTANCE!$1:$1048576,5,0)</f>
        <v>23.29</v>
      </c>
      <c r="H44" s="6">
        <f>VLOOKUP(E44,DISTANCE!$1:$1048576,6,0)</f>
        <v>2.46</v>
      </c>
      <c r="I44" s="7" t="str">
        <f t="shared" si="4"/>
        <v/>
      </c>
    </row>
    <row r="45" spans="1:9" x14ac:dyDescent="0.25">
      <c r="A45" t="s">
        <v>186</v>
      </c>
      <c r="C45" s="6">
        <v>41</v>
      </c>
      <c r="D45" s="7" t="s">
        <v>21</v>
      </c>
      <c r="E45" s="6" t="str">
        <f>VLOOKUP(A45,COV!$1:$1048576,2,0)</f>
        <v>RJ47GA7295</v>
      </c>
      <c r="F45" s="6">
        <f>VLOOKUP(A45,COV!$1:$1048576,3,0)</f>
        <v>97</v>
      </c>
      <c r="G45" s="6">
        <f>VLOOKUP(E45,DISTANCE!$1:$1048576,5,0)</f>
        <v>21.66</v>
      </c>
      <c r="H45" s="6">
        <f>VLOOKUP(E45,DISTANCE!$1:$1048576,6,0)</f>
        <v>2.56</v>
      </c>
      <c r="I45" s="7" t="str">
        <f t="shared" si="4"/>
        <v/>
      </c>
    </row>
    <row r="46" spans="1:9" x14ac:dyDescent="0.25">
      <c r="A46" t="s">
        <v>187</v>
      </c>
      <c r="C46" s="6">
        <v>42</v>
      </c>
      <c r="D46" s="7" t="s">
        <v>21</v>
      </c>
      <c r="E46" s="6" t="str">
        <f>VLOOKUP(A46,COV!$1:$1048576,2,0)</f>
        <v>RJ47GA7290</v>
      </c>
      <c r="F46" s="6">
        <f>VLOOKUP(A46,COV!$1:$1048576,3,0)</f>
        <v>100</v>
      </c>
      <c r="G46" s="6">
        <f>VLOOKUP(E46,DISTANCE!$1:$1048576,5,0)</f>
        <v>14.99</v>
      </c>
      <c r="H46" s="6">
        <f>VLOOKUP(E46,DISTANCE!$1:$1048576,6,0)</f>
        <v>1.57</v>
      </c>
      <c r="I46" s="7" t="str">
        <f t="shared" si="4"/>
        <v/>
      </c>
    </row>
    <row r="47" spans="1:9" x14ac:dyDescent="0.25">
      <c r="A47" t="s">
        <v>188</v>
      </c>
      <c r="C47" s="6">
        <v>43</v>
      </c>
      <c r="D47" s="7" t="s">
        <v>55</v>
      </c>
      <c r="E47" s="6" t="str">
        <f>VLOOKUP(A47,COV!$1:$1048576,2,0)</f>
        <v>RJ47GA7338</v>
      </c>
      <c r="F47" s="6">
        <f>VLOOKUP(A47,COV!$1:$1048576,3,0)</f>
        <v>94</v>
      </c>
      <c r="G47" s="6">
        <f>VLOOKUP(E47,DISTANCE!$1:$1048576,5,0)</f>
        <v>40.619999999999997</v>
      </c>
      <c r="H47" s="6">
        <f>VLOOKUP(E47,DISTANCE!$1:$1048576,6,0)</f>
        <v>4.07</v>
      </c>
      <c r="I47" s="7" t="str">
        <f t="shared" si="4"/>
        <v/>
      </c>
    </row>
    <row r="48" spans="1:9" x14ac:dyDescent="0.25">
      <c r="A48" t="s">
        <v>189</v>
      </c>
      <c r="B48" s="12"/>
      <c r="C48" s="13">
        <v>44</v>
      </c>
      <c r="D48" s="14" t="s">
        <v>55</v>
      </c>
      <c r="E48" s="13" t="str">
        <f>VLOOKUP(A48,COV!$1:$1048576,2,0)</f>
        <v>RJ47GA7294</v>
      </c>
      <c r="F48" s="6">
        <f>VLOOKUP(A48,COV!$1:$1048576,3,0)</f>
        <v>91</v>
      </c>
      <c r="G48" s="6">
        <f>VLOOKUP(E48,DISTANCE!$1:$1048576,5,0)</f>
        <v>18.71</v>
      </c>
      <c r="H48" s="6">
        <f>VLOOKUP(E48,DISTANCE!$1:$1048576,6,0)</f>
        <v>3.18</v>
      </c>
      <c r="I48" s="7" t="str">
        <f t="shared" si="4"/>
        <v/>
      </c>
    </row>
    <row r="49" spans="1:9" x14ac:dyDescent="0.25">
      <c r="A49" t="s">
        <v>539</v>
      </c>
      <c r="C49" s="6">
        <v>45</v>
      </c>
      <c r="D49" s="7" t="s">
        <v>101</v>
      </c>
      <c r="E49" s="6" t="str">
        <f>VLOOKUP(A49,COV!$1:$1048576,2,0)</f>
        <v>RJ47GA7218</v>
      </c>
      <c r="F49" s="6">
        <f>VLOOKUP(A49,COV!$1:$1048576,3,0)</f>
        <v>100</v>
      </c>
      <c r="G49" s="6">
        <f>VLOOKUP(E49,DISTANCE!$1:$1048576,5,0)</f>
        <v>28.99</v>
      </c>
      <c r="H49" s="6">
        <f>VLOOKUP(E49,DISTANCE!$1:$1048576,6,0)</f>
        <v>3.87</v>
      </c>
      <c r="I49" s="7" t="str">
        <f t="shared" si="4"/>
        <v/>
      </c>
    </row>
    <row r="50" spans="1:9" x14ac:dyDescent="0.25">
      <c r="A50" t="s">
        <v>540</v>
      </c>
      <c r="C50" s="6">
        <v>46</v>
      </c>
      <c r="D50" s="7" t="s">
        <v>101</v>
      </c>
      <c r="E50" s="6" t="str">
        <f>VLOOKUP(A50,COV!$1:$1048576,2,0)</f>
        <v>RJ14GN3509</v>
      </c>
      <c r="F50" s="6">
        <f>VLOOKUP(A50,COV!$1:$1048576,3,0)</f>
        <v>100</v>
      </c>
      <c r="G50" s="6">
        <f>VLOOKUP(E50,DISTANCE!$1:$1048576,5,0)</f>
        <v>20.3</v>
      </c>
      <c r="H50" s="6">
        <f>VLOOKUP(E50,DISTANCE!$1:$1048576,6,0)</f>
        <v>3.07</v>
      </c>
      <c r="I50" s="7" t="str">
        <f t="shared" si="4"/>
        <v/>
      </c>
    </row>
    <row r="51" spans="1:9" x14ac:dyDescent="0.25">
      <c r="A51" t="s">
        <v>541</v>
      </c>
      <c r="C51" s="6">
        <v>47</v>
      </c>
      <c r="D51" s="7" t="s">
        <v>48</v>
      </c>
      <c r="E51" s="6" t="str">
        <f>VLOOKUP(A51,COV!$1:$1048576,2,0)</f>
        <v>RJ14GN3510</v>
      </c>
      <c r="F51" s="6">
        <f>VLOOKUP(A51,COV!$1:$1048576,3,0)</f>
        <v>100</v>
      </c>
      <c r="G51" s="6">
        <f>VLOOKUP(E51,DISTANCE!$1:$1048576,5,0)</f>
        <v>13.99</v>
      </c>
      <c r="H51" s="6">
        <f>VLOOKUP(E51,DISTANCE!$1:$1048576,6,0)</f>
        <v>3.7</v>
      </c>
      <c r="I51" s="7" t="str">
        <f t="shared" si="4"/>
        <v/>
      </c>
    </row>
    <row r="52" spans="1:9" x14ac:dyDescent="0.25">
      <c r="A52" t="s">
        <v>542</v>
      </c>
      <c r="C52" s="6">
        <v>48</v>
      </c>
      <c r="D52" s="7" t="s">
        <v>48</v>
      </c>
      <c r="E52" s="6" t="str">
        <f>VLOOKUP(A52,COV!$1:$1048576,2,0)</f>
        <v>RJ47GA6537</v>
      </c>
      <c r="F52" s="6">
        <f>VLOOKUP(A52,COV!$1:$1048576,3,0)</f>
        <v>100</v>
      </c>
      <c r="G52" s="6">
        <f>VLOOKUP(E52,DISTANCE!$1:$1048576,5,0)</f>
        <v>15.96</v>
      </c>
      <c r="H52" s="6">
        <f>VLOOKUP(E52,DISTANCE!$1:$1048576,6,0)</f>
        <v>1.83</v>
      </c>
      <c r="I52" s="7" t="str">
        <f t="shared" si="4"/>
        <v/>
      </c>
    </row>
    <row r="53" spans="1:9" x14ac:dyDescent="0.25">
      <c r="A53" t="s">
        <v>543</v>
      </c>
      <c r="C53" s="6">
        <v>49</v>
      </c>
      <c r="D53" s="7" t="s">
        <v>6</v>
      </c>
      <c r="E53" s="6" t="str">
        <f>VLOOKUP(A53,COV!$1:$1048576,2,0)</f>
        <v>RJ47GA6538</v>
      </c>
      <c r="F53" s="6">
        <f>VLOOKUP(A53,COV!$1:$1048576,3,0)</f>
        <v>53</v>
      </c>
      <c r="G53" s="6">
        <f>VLOOKUP(E53,DISTANCE!$1:$1048576,5,0)</f>
        <v>12.41</v>
      </c>
      <c r="H53" s="6">
        <f>VLOOKUP(E53,DISTANCE!$1:$1048576,6,0)</f>
        <v>1.94</v>
      </c>
      <c r="I53" s="7" t="str">
        <f t="shared" ref="I53:I58" si="5">IF(F53&lt;70,"DRIVER FAULT","")</f>
        <v>DRIVER FAULT</v>
      </c>
    </row>
    <row r="54" spans="1:9" x14ac:dyDescent="0.25">
      <c r="A54" t="s">
        <v>194</v>
      </c>
      <c r="C54" s="6">
        <v>50</v>
      </c>
      <c r="D54" s="7" t="s">
        <v>6</v>
      </c>
      <c r="E54" s="6" t="str">
        <f>VLOOKUP(A54,COV!$1:$1048576,2,0)</f>
        <v>RJ47GA7275</v>
      </c>
      <c r="F54" s="6">
        <f>VLOOKUP(A54,COV!$1:$1048576,3,0)</f>
        <v>100</v>
      </c>
      <c r="G54" s="6">
        <f>VLOOKUP(E54,DISTANCE!$1:$1048576,5,0)</f>
        <v>64.25</v>
      </c>
      <c r="H54" s="6">
        <f>VLOOKUP(E54,DISTANCE!$1:$1048576,6,0)</f>
        <v>10.16</v>
      </c>
      <c r="I54" s="7" t="str">
        <f t="shared" si="5"/>
        <v/>
      </c>
    </row>
    <row r="55" spans="1:9" x14ac:dyDescent="0.25">
      <c r="A55" t="s">
        <v>195</v>
      </c>
      <c r="C55" s="6">
        <v>51</v>
      </c>
      <c r="D55" s="7" t="s">
        <v>24</v>
      </c>
      <c r="E55" s="6" t="str">
        <f>VLOOKUP(A55,COV!$1:$1048576,2,0)</f>
        <v>RJ47GA7175</v>
      </c>
      <c r="F55" s="50" t="s">
        <v>758</v>
      </c>
      <c r="G55" s="51"/>
      <c r="H55" s="51"/>
      <c r="I55" s="52"/>
    </row>
    <row r="56" spans="1:9" x14ac:dyDescent="0.25">
      <c r="A56" t="s">
        <v>196</v>
      </c>
      <c r="C56" s="6">
        <v>52</v>
      </c>
      <c r="D56" s="7" t="s">
        <v>24</v>
      </c>
      <c r="E56" s="6" t="str">
        <f>VLOOKUP(A56,COV!$1:$1048576,2,0)</f>
        <v>RJ47GA7339</v>
      </c>
      <c r="F56" s="6">
        <f>VLOOKUP(A56,COV!$1:$1048576,3,0)</f>
        <v>93</v>
      </c>
      <c r="G56" s="6">
        <f>VLOOKUP(E56,DISTANCE!$1:$1048576,5,0)</f>
        <v>49.39</v>
      </c>
      <c r="H56" s="6">
        <f>VLOOKUP(E56,DISTANCE!$1:$1048576,6,0)</f>
        <v>5.78</v>
      </c>
      <c r="I56" s="7" t="str">
        <f t="shared" si="5"/>
        <v/>
      </c>
    </row>
    <row r="57" spans="1:9" x14ac:dyDescent="0.25">
      <c r="A57" t="s">
        <v>197</v>
      </c>
      <c r="C57" s="6">
        <v>53</v>
      </c>
      <c r="D57" s="7" t="s">
        <v>24</v>
      </c>
      <c r="E57" s="6" t="str">
        <f>VLOOKUP(A57,COV!$1:$1048576,2,0)</f>
        <v>RJ47GA7238</v>
      </c>
      <c r="F57" s="6">
        <f>VLOOKUP(A57,COV!$1:$1048576,3,0)</f>
        <v>97</v>
      </c>
      <c r="G57" s="6">
        <f>VLOOKUP(E57,DISTANCE!$1:$1048576,5,0)</f>
        <v>36.31</v>
      </c>
      <c r="H57" s="6">
        <f>VLOOKUP(E57,DISTANCE!$1:$1048576,6,0)</f>
        <v>4.24</v>
      </c>
      <c r="I57" s="7" t="str">
        <f t="shared" si="5"/>
        <v/>
      </c>
    </row>
    <row r="58" spans="1:9" x14ac:dyDescent="0.25">
      <c r="A58" t="s">
        <v>200</v>
      </c>
      <c r="C58" s="6">
        <v>54</v>
      </c>
      <c r="D58" s="7" t="s">
        <v>15</v>
      </c>
      <c r="E58" s="6" t="str">
        <f>VLOOKUP(A58,COV!$1:$1048576,2,0)</f>
        <v>RJ47GA7190</v>
      </c>
      <c r="F58" s="6">
        <f>VLOOKUP(A58,COV!$1:$1048576,3,0)</f>
        <v>69</v>
      </c>
      <c r="G58" s="6">
        <f>VLOOKUP(E58,DISTANCE!$1:$1048576,5,0)</f>
        <v>47.69</v>
      </c>
      <c r="H58" s="6">
        <f>VLOOKUP(E58,DISTANCE!$1:$1048576,6,0)</f>
        <v>6.08</v>
      </c>
      <c r="I58" s="7" t="str">
        <f t="shared" si="5"/>
        <v>DRIVER FAULT</v>
      </c>
    </row>
    <row r="59" spans="1:9" x14ac:dyDescent="0.25">
      <c r="A59" t="s">
        <v>198</v>
      </c>
      <c r="C59" s="6">
        <v>55</v>
      </c>
      <c r="D59" s="7" t="s">
        <v>15</v>
      </c>
      <c r="E59" s="6" t="str">
        <f>VLOOKUP(A59,COV!$1:$1048576,2,0)</f>
        <v>RJ47GA7341</v>
      </c>
      <c r="F59" s="50" t="s">
        <v>757</v>
      </c>
      <c r="G59" s="51"/>
      <c r="H59" s="51"/>
      <c r="I59" s="52"/>
    </row>
    <row r="60" spans="1:9" x14ac:dyDescent="0.25">
      <c r="A60" t="s">
        <v>123</v>
      </c>
      <c r="C60" s="6">
        <v>56</v>
      </c>
      <c r="D60" s="7" t="s">
        <v>15</v>
      </c>
      <c r="E60" s="6" t="str">
        <f>VLOOKUP(A60,COV!$1:$1048576,2,0)</f>
        <v>RJ47GA7237</v>
      </c>
      <c r="F60" s="6">
        <f>VLOOKUP(A60,COV!$1:$1048576,3,0)</f>
        <v>70</v>
      </c>
      <c r="G60" s="6">
        <f>VLOOKUP(E60,DISTANCE!$1:$1048576,5,0)</f>
        <v>48.41</v>
      </c>
      <c r="H60" s="6">
        <f>VLOOKUP(E60,DISTANCE!$1:$1048576,6,0)</f>
        <v>6.05</v>
      </c>
      <c r="I60" s="7" t="str">
        <f t="shared" ref="I59:I68" si="6">IF(F60&lt;70,"DRIVER FAULT","")</f>
        <v/>
      </c>
    </row>
    <row r="61" spans="1:9" x14ac:dyDescent="0.25">
      <c r="A61" t="s">
        <v>134</v>
      </c>
      <c r="C61" s="6">
        <v>57</v>
      </c>
      <c r="D61" s="7" t="s">
        <v>15</v>
      </c>
      <c r="E61" s="6" t="str">
        <f>VLOOKUP(A61,COV!$1:$1048576,2,0)</f>
        <v>RJ47GA7183</v>
      </c>
      <c r="F61" s="6">
        <f>VLOOKUP(A61,COV!$1:$1048576,3,0)</f>
        <v>56</v>
      </c>
      <c r="G61" s="6">
        <f>VLOOKUP(E61,DISTANCE!$1:$1048576,5,0)</f>
        <v>50.22</v>
      </c>
      <c r="H61" s="6">
        <f>VLOOKUP(E61,DISTANCE!$1:$1048576,6,0)</f>
        <v>5.85</v>
      </c>
      <c r="I61" s="7" t="str">
        <f t="shared" si="6"/>
        <v>DRIVER FAULT</v>
      </c>
    </row>
    <row r="62" spans="1:9" x14ac:dyDescent="0.25">
      <c r="A62" t="s">
        <v>199</v>
      </c>
      <c r="C62" s="6">
        <v>58</v>
      </c>
      <c r="D62" s="7" t="s">
        <v>15</v>
      </c>
      <c r="E62" s="6" t="str">
        <f>VLOOKUP(A62,COV!$1:$1048576,2,0)</f>
        <v>RJ47GA7184</v>
      </c>
      <c r="F62" s="6">
        <f>VLOOKUP(A62,COV!$1:$1048576,3,0)</f>
        <v>72</v>
      </c>
      <c r="G62" s="6">
        <f>VLOOKUP(E62,DISTANCE!$1:$1048576,5,0)</f>
        <v>80.78</v>
      </c>
      <c r="H62" s="6">
        <f>VLOOKUP(E62,DISTANCE!$1:$1048576,6,0)</f>
        <v>9.82</v>
      </c>
      <c r="I62" s="7" t="str">
        <f t="shared" si="6"/>
        <v/>
      </c>
    </row>
    <row r="63" spans="1:9" x14ac:dyDescent="0.25">
      <c r="A63" t="s">
        <v>192</v>
      </c>
      <c r="C63" s="6">
        <v>59</v>
      </c>
      <c r="D63" s="7" t="s">
        <v>9</v>
      </c>
      <c r="E63" s="6" t="str">
        <f>VLOOKUP(A63,COV!$1:$1048576,2,0)</f>
        <v>RJ47GA7278</v>
      </c>
      <c r="F63" s="6">
        <f>VLOOKUP(A63,COV!$1:$1048576,3,0)</f>
        <v>50</v>
      </c>
      <c r="G63" s="6">
        <f>VLOOKUP(E63,DISTANCE!$1:$1048576,5,0)</f>
        <v>76.95</v>
      </c>
      <c r="H63" s="6">
        <f>VLOOKUP(E63,DISTANCE!$1:$1048576,6,0)</f>
        <v>9.1300000000000008</v>
      </c>
      <c r="I63" s="7" t="str">
        <f t="shared" si="6"/>
        <v>DRIVER FAULT</v>
      </c>
    </row>
    <row r="64" spans="1:9" x14ac:dyDescent="0.25">
      <c r="A64" t="s">
        <v>544</v>
      </c>
      <c r="C64" s="6">
        <v>60</v>
      </c>
      <c r="D64" s="7" t="s">
        <v>9</v>
      </c>
      <c r="E64" s="6" t="str">
        <f>VLOOKUP(A64,COV!$1:$1048576,2,0)</f>
        <v>RJ47GA7240</v>
      </c>
      <c r="F64" s="6">
        <f>VLOOKUP(A64,COV!$1:$1048576,3,0)</f>
        <v>91</v>
      </c>
      <c r="G64" s="6">
        <f>VLOOKUP(E64,DISTANCE!$1:$1048576,5,0)</f>
        <v>54.38</v>
      </c>
      <c r="H64" s="6">
        <f>VLOOKUP(E64,DISTANCE!$1:$1048576,6,0)</f>
        <v>3.5</v>
      </c>
      <c r="I64" s="7" t="str">
        <f t="shared" si="6"/>
        <v/>
      </c>
    </row>
    <row r="65" spans="1:9" x14ac:dyDescent="0.25">
      <c r="A65" t="s">
        <v>545</v>
      </c>
      <c r="C65" s="6">
        <v>61</v>
      </c>
      <c r="D65" s="7" t="s">
        <v>9</v>
      </c>
      <c r="E65" s="6" t="str">
        <f>VLOOKUP(A65,COV!$1:$1048576,2,0)</f>
        <v>RJ47GA7246</v>
      </c>
      <c r="F65" s="6">
        <f>VLOOKUP(A65,COV!$1:$1048576,3,0)</f>
        <v>86</v>
      </c>
      <c r="G65" s="6">
        <f>VLOOKUP(E65,DISTANCE!$1:$1048576,5,0)</f>
        <v>57</v>
      </c>
      <c r="H65" s="6">
        <f>VLOOKUP(E65,DISTANCE!$1:$1048576,6,0)</f>
        <v>9.1</v>
      </c>
      <c r="I65" s="7" t="str">
        <f t="shared" si="6"/>
        <v/>
      </c>
    </row>
    <row r="66" spans="1:9" x14ac:dyDescent="0.25">
      <c r="A66" t="s">
        <v>546</v>
      </c>
      <c r="C66" s="6">
        <v>62</v>
      </c>
      <c r="D66" s="7" t="s">
        <v>9</v>
      </c>
      <c r="E66" s="6" t="str">
        <f>VLOOKUP(A66,COV!$1:$1048576,2,0)</f>
        <v>RJ47GA7281</v>
      </c>
      <c r="F66" s="6">
        <f>VLOOKUP(A66,COV!$1:$1048576,3,0)</f>
        <v>96</v>
      </c>
      <c r="G66" s="6">
        <f>VLOOKUP(E66,DISTANCE!$1:$1048576,5,0)</f>
        <v>49.2</v>
      </c>
      <c r="H66" s="6">
        <f>VLOOKUP(E66,DISTANCE!$1:$1048576,6,0)</f>
        <v>9.4700000000000006</v>
      </c>
      <c r="I66" s="7" t="str">
        <f t="shared" si="6"/>
        <v/>
      </c>
    </row>
    <row r="67" spans="1:9" x14ac:dyDescent="0.25">
      <c r="A67" t="s">
        <v>191</v>
      </c>
      <c r="C67" s="6">
        <v>63</v>
      </c>
      <c r="D67" s="7" t="s">
        <v>9</v>
      </c>
      <c r="E67" s="6" t="str">
        <f>VLOOKUP(A67,COV!$1:$1048576,2,0)</f>
        <v>RJ47GA7287</v>
      </c>
      <c r="F67" s="6">
        <f>VLOOKUP(A67,COV!$1:$1048576,3,0)</f>
        <v>96</v>
      </c>
      <c r="G67" s="6">
        <f>VLOOKUP(E67,DISTANCE!$1:$1048576,5,0)</f>
        <v>45.51</v>
      </c>
      <c r="H67" s="6">
        <f>VLOOKUP(E67,DISTANCE!$1:$1048576,6,0)</f>
        <v>7.45</v>
      </c>
      <c r="I67" s="7" t="str">
        <f t="shared" si="6"/>
        <v/>
      </c>
    </row>
    <row r="68" spans="1:9" x14ac:dyDescent="0.25">
      <c r="A68" t="s">
        <v>193</v>
      </c>
      <c r="C68" s="6">
        <v>64</v>
      </c>
      <c r="D68" s="7" t="s">
        <v>9</v>
      </c>
      <c r="E68" s="6" t="str">
        <f>VLOOKUP(A68,COV!$1:$1048576,2,0)</f>
        <v>RJ47GA7244</v>
      </c>
      <c r="F68" s="6">
        <f>VLOOKUP(A68,COV!$1:$1048576,3,0)</f>
        <v>86</v>
      </c>
      <c r="G68" s="6">
        <f>VLOOKUP(E68,DISTANCE!$1:$1048576,5,0)</f>
        <v>68.02</v>
      </c>
      <c r="H68" s="6">
        <f>VLOOKUP(E68,DISTANCE!$1:$1048576,6,0)</f>
        <v>7.35</v>
      </c>
      <c r="I68" s="7" t="str">
        <f t="shared" si="6"/>
        <v/>
      </c>
    </row>
    <row r="69" spans="1:9" x14ac:dyDescent="0.25">
      <c r="A69" t="s">
        <v>190</v>
      </c>
      <c r="C69" s="6">
        <v>65</v>
      </c>
      <c r="D69" s="7" t="s">
        <v>9</v>
      </c>
      <c r="E69" s="6" t="str">
        <f>VLOOKUP(A69,COV!$1:$1048576,2,0)</f>
        <v>RJ47GA7334</v>
      </c>
      <c r="F69" s="6">
        <f>VLOOKUP(A69,COV!$1:$1048576,3,0)</f>
        <v>87</v>
      </c>
      <c r="G69" s="6">
        <f>VLOOKUP(E69,DISTANCE!$1:$1048576,5,0)</f>
        <v>63.3</v>
      </c>
      <c r="H69" s="6">
        <f>VLOOKUP(E69,DISTANCE!$1:$1048576,6,0)</f>
        <v>10.01</v>
      </c>
      <c r="I69" s="7" t="str">
        <f t="shared" ref="I69" si="7">IF(F69&lt;70,"DRIVER FAULT","")</f>
        <v/>
      </c>
    </row>
    <row r="70" spans="1:9" x14ac:dyDescent="0.25">
      <c r="C70" s="48" t="s">
        <v>144</v>
      </c>
      <c r="D70" s="48"/>
      <c r="E70" s="48"/>
      <c r="F70" s="9">
        <f>AVERAGE(F5:F69)</f>
        <v>89.854838709677423</v>
      </c>
      <c r="G70" s="9">
        <f t="shared" ref="G70:H70" si="8">AVERAGE(G5:G69)</f>
        <v>31.36322580645162</v>
      </c>
      <c r="H70" s="9">
        <f t="shared" si="8"/>
        <v>4.5037096774193559</v>
      </c>
      <c r="I70" s="7"/>
    </row>
  </sheetData>
  <mergeCells count="7">
    <mergeCell ref="C1:I1"/>
    <mergeCell ref="C2:I2"/>
    <mergeCell ref="C3:I3"/>
    <mergeCell ref="C70:E70"/>
    <mergeCell ref="F55:I55"/>
    <mergeCell ref="F16:I16"/>
    <mergeCell ref="F59:I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470F-FAE5-47A1-A92F-18F4D6B819EE}">
  <dimension ref="A1:I47"/>
  <sheetViews>
    <sheetView topLeftCell="B29" workbookViewId="0">
      <selection activeCell="G39" sqref="C1:I47"/>
    </sheetView>
  </sheetViews>
  <sheetFormatPr defaultRowHeight="15" x14ac:dyDescent="0.25"/>
  <cols>
    <col min="1" max="1" width="22" style="10" hidden="1" customWidth="1"/>
    <col min="2" max="2" width="9.140625" style="10"/>
    <col min="3" max="3" width="8.42578125" style="10" customWidth="1"/>
    <col min="4" max="4" width="21.42578125" style="10" customWidth="1"/>
    <col min="5" max="5" width="18.140625" style="10" customWidth="1"/>
    <col min="6" max="6" width="15.7109375" style="10" customWidth="1"/>
    <col min="7" max="7" width="18" style="10" customWidth="1"/>
    <col min="8" max="8" width="21.5703125" style="10" bestFit="1" customWidth="1"/>
    <col min="9" max="9" width="17.42578125" style="10" customWidth="1"/>
    <col min="10" max="16384" width="9.140625" style="10"/>
  </cols>
  <sheetData>
    <row r="1" spans="1:9" s="8" customFormat="1" x14ac:dyDescent="0.25">
      <c r="C1" s="48" t="s">
        <v>311</v>
      </c>
      <c r="D1" s="48"/>
      <c r="E1" s="48"/>
      <c r="F1" s="48"/>
      <c r="G1" s="48"/>
      <c r="H1" s="48"/>
      <c r="I1" s="48"/>
    </row>
    <row r="2" spans="1:9" s="8" customFormat="1" x14ac:dyDescent="0.25">
      <c r="C2" s="48" t="s">
        <v>312</v>
      </c>
      <c r="D2" s="48"/>
      <c r="E2" s="48"/>
      <c r="F2" s="48"/>
      <c r="G2" s="48"/>
      <c r="H2" s="48"/>
      <c r="I2" s="48"/>
    </row>
    <row r="3" spans="1:9" s="8" customFormat="1" ht="15" customHeight="1" x14ac:dyDescent="0.25">
      <c r="C3" s="49">
        <f ca="1">TODAY()</f>
        <v>46178</v>
      </c>
      <c r="D3" s="49"/>
      <c r="E3" s="49"/>
      <c r="F3" s="49"/>
      <c r="G3" s="49"/>
      <c r="H3" s="49"/>
      <c r="I3" s="49"/>
    </row>
    <row r="4" spans="1:9" s="8" customFormat="1" x14ac:dyDescent="0.25">
      <c r="C4" s="3" t="s">
        <v>142</v>
      </c>
      <c r="D4" s="3" t="s">
        <v>0</v>
      </c>
      <c r="E4" s="3" t="s">
        <v>139</v>
      </c>
      <c r="F4" s="3" t="s">
        <v>138</v>
      </c>
      <c r="G4" s="3" t="s">
        <v>313</v>
      </c>
      <c r="H4" s="3" t="s">
        <v>5</v>
      </c>
      <c r="I4" s="3" t="s">
        <v>143</v>
      </c>
    </row>
    <row r="5" spans="1:9" x14ac:dyDescent="0.25">
      <c r="A5" s="10" t="s">
        <v>206</v>
      </c>
      <c r="C5" s="6">
        <v>1</v>
      </c>
      <c r="D5" s="7" t="s">
        <v>448</v>
      </c>
      <c r="E5" s="6" t="str">
        <f>VLOOKUP(A5,COV!$1:$1048576,2,0)</f>
        <v>RJ14GT9472</v>
      </c>
      <c r="F5" s="6">
        <f>VLOOKUP(A5,COV!$1:$1048576,3,0)</f>
        <v>91</v>
      </c>
      <c r="G5" s="6">
        <f>VLOOKUP(E5,DISTANCE!$1:$1048576,5,0)</f>
        <v>16.32</v>
      </c>
      <c r="H5" s="6">
        <f>VLOOKUP(E5,DISTANCE!$1:$1048576,6,0)</f>
        <v>3.18</v>
      </c>
      <c r="I5" s="7" t="str">
        <f t="shared" ref="I5" si="0">IF(F5&lt;70,"DRIVER FAULT","")</f>
        <v/>
      </c>
    </row>
    <row r="6" spans="1:9" x14ac:dyDescent="0.25">
      <c r="A6" s="10" t="s">
        <v>292</v>
      </c>
      <c r="C6" s="6">
        <v>2</v>
      </c>
      <c r="D6" s="7" t="s">
        <v>448</v>
      </c>
      <c r="E6" s="6" t="str">
        <f>VLOOKUP(A6,COV!$1:$1048576,2,0)</f>
        <v>RJ14GT8921</v>
      </c>
      <c r="F6" s="6">
        <f>VLOOKUP(A6,COV!$1:$1048576,3,0)</f>
        <v>93</v>
      </c>
      <c r="G6" s="6">
        <f>VLOOKUP(E6,DISTANCE!$1:$1048576,5,0)</f>
        <v>28.48</v>
      </c>
      <c r="H6" s="6">
        <f>VLOOKUP(E6,DISTANCE!$1:$1048576,6,0)</f>
        <v>7.29</v>
      </c>
      <c r="I6" s="7" t="str">
        <f t="shared" ref="I6:I41" si="1">IF(F6&lt;70,"DRIVER FAULT","")</f>
        <v/>
      </c>
    </row>
    <row r="7" spans="1:9" x14ac:dyDescent="0.25">
      <c r="A7" s="10" t="s">
        <v>226</v>
      </c>
      <c r="C7" s="6">
        <v>3</v>
      </c>
      <c r="D7" s="7" t="s">
        <v>449</v>
      </c>
      <c r="E7" s="6" t="str">
        <f>VLOOKUP(A7,COV!$1:$1048576,2,0)</f>
        <v>RJ14GT9483</v>
      </c>
      <c r="F7" s="6">
        <f>VLOOKUP(A7,COV!$1:$1048576,3,0)</f>
        <v>86</v>
      </c>
      <c r="G7" s="6">
        <f>VLOOKUP(E7,DISTANCE!$1:$1048576,5,0)</f>
        <v>16.510000000000002</v>
      </c>
      <c r="H7" s="6">
        <f>VLOOKUP(E7,DISTANCE!$1:$1048576,6,0)</f>
        <v>3.87</v>
      </c>
      <c r="I7" s="7" t="str">
        <f t="shared" si="1"/>
        <v/>
      </c>
    </row>
    <row r="8" spans="1:9" x14ac:dyDescent="0.25">
      <c r="A8" s="10" t="s">
        <v>296</v>
      </c>
      <c r="C8" s="6">
        <v>4</v>
      </c>
      <c r="D8" s="7" t="s">
        <v>449</v>
      </c>
      <c r="E8" s="6" t="str">
        <f>VLOOKUP(A8,COV!$1:$1048576,2,0)</f>
        <v>RJ14GT9461</v>
      </c>
      <c r="F8" s="6">
        <f>VLOOKUP(A8,COV!$1:$1048576,3,0)</f>
        <v>92</v>
      </c>
      <c r="G8" s="6">
        <f>VLOOKUP(E8,DISTANCE!$1:$1048576,5,0)</f>
        <v>20.45</v>
      </c>
      <c r="H8" s="6">
        <f>VLOOKUP(E8,DISTANCE!$1:$1048576,6,0)</f>
        <v>4.09</v>
      </c>
      <c r="I8" s="7" t="str">
        <f t="shared" si="1"/>
        <v/>
      </c>
    </row>
    <row r="9" spans="1:9" x14ac:dyDescent="0.25">
      <c r="A9" s="10" t="s">
        <v>242</v>
      </c>
      <c r="C9" s="6">
        <v>5</v>
      </c>
      <c r="D9" s="7" t="s">
        <v>450</v>
      </c>
      <c r="E9" s="6" t="str">
        <f>VLOOKUP(A9,COV!$1:$1048576,2,0)</f>
        <v>RJ14GT8849</v>
      </c>
      <c r="F9" s="6">
        <f>VLOOKUP(A9,COV!$1:$1048576,3,0)</f>
        <v>97</v>
      </c>
      <c r="G9" s="6">
        <f>VLOOKUP(E9,DISTANCE!$1:$1048576,5,0)</f>
        <v>27.27</v>
      </c>
      <c r="H9" s="6">
        <f>VLOOKUP(E9,DISTANCE!$1:$1048576,6,0)</f>
        <v>4.1500000000000004</v>
      </c>
      <c r="I9" s="7" t="str">
        <f t="shared" si="1"/>
        <v/>
      </c>
    </row>
    <row r="10" spans="1:9" x14ac:dyDescent="0.25">
      <c r="A10" s="10" t="s">
        <v>295</v>
      </c>
      <c r="C10" s="6">
        <v>6</v>
      </c>
      <c r="D10" s="7" t="s">
        <v>450</v>
      </c>
      <c r="E10" s="6" t="str">
        <f>VLOOKUP(A10,COV!$1:$1048576,2,0)</f>
        <v>RJ14GT9038</v>
      </c>
      <c r="F10" s="6">
        <f>VLOOKUP(A10,COV!$1:$1048576,3,0)</f>
        <v>90</v>
      </c>
      <c r="G10" s="6">
        <f>VLOOKUP(E10,DISTANCE!$1:$1048576,5,0)</f>
        <v>14.47</v>
      </c>
      <c r="H10" s="6">
        <f>VLOOKUP(E10,DISTANCE!$1:$1048576,6,0)</f>
        <v>2.14</v>
      </c>
      <c r="I10" s="7" t="str">
        <f t="shared" si="1"/>
        <v/>
      </c>
    </row>
    <row r="11" spans="1:9" x14ac:dyDescent="0.25">
      <c r="A11" s="10" t="s">
        <v>227</v>
      </c>
      <c r="C11" s="6">
        <v>7</v>
      </c>
      <c r="D11" s="7" t="s">
        <v>451</v>
      </c>
      <c r="E11" s="6" t="str">
        <f>VLOOKUP(A11,COV!$1:$1048576,2,0)</f>
        <v>RJ14GT9480</v>
      </c>
      <c r="F11" s="6">
        <f>VLOOKUP(A11,COV!$1:$1048576,3,0)</f>
        <v>86</v>
      </c>
      <c r="G11" s="6">
        <f>VLOOKUP(E11,DISTANCE!$1:$1048576,5,0)</f>
        <v>21.75</v>
      </c>
      <c r="H11" s="6">
        <f>VLOOKUP(E11,DISTANCE!$1:$1048576,6,0)</f>
        <v>2.42</v>
      </c>
      <c r="I11" s="7" t="str">
        <f t="shared" ref="I11" si="2">IF(F11&lt;70,"DRIVER FAULT","")</f>
        <v/>
      </c>
    </row>
    <row r="12" spans="1:9" x14ac:dyDescent="0.25">
      <c r="A12" s="10" t="s">
        <v>293</v>
      </c>
      <c r="C12" s="6">
        <v>8</v>
      </c>
      <c r="D12" s="7" t="s">
        <v>451</v>
      </c>
      <c r="E12" s="6" t="str">
        <f>VLOOKUP(A12,COV!$1:$1048576,2,0)</f>
        <v>RJ14GT9475</v>
      </c>
      <c r="F12" s="6">
        <f>VLOOKUP(A12,COV!$1:$1048576,3,0)</f>
        <v>100</v>
      </c>
      <c r="G12" s="6">
        <f>VLOOKUP(E12,DISTANCE!$1:$1048576,5,0)</f>
        <v>41.28</v>
      </c>
      <c r="H12" s="6">
        <f>VLOOKUP(E12,DISTANCE!$1:$1048576,6,0)</f>
        <v>7.71</v>
      </c>
      <c r="I12" s="7" t="str">
        <f t="shared" si="1"/>
        <v/>
      </c>
    </row>
    <row r="13" spans="1:9" x14ac:dyDescent="0.25">
      <c r="A13" s="10" t="s">
        <v>223</v>
      </c>
      <c r="C13" s="6">
        <v>9</v>
      </c>
      <c r="D13" s="7" t="s">
        <v>452</v>
      </c>
      <c r="E13" s="6" t="str">
        <f>VLOOKUP(A13,COV!$1:$1048576,2,0)</f>
        <v>RJ14GT9042</v>
      </c>
      <c r="F13" s="6">
        <f>VLOOKUP(A13,COV!$1:$1048576,3,0)</f>
        <v>97</v>
      </c>
      <c r="G13" s="6">
        <f>VLOOKUP(E13,DISTANCE!$1:$1048576,5,0)</f>
        <v>15.75</v>
      </c>
      <c r="H13" s="6">
        <f>VLOOKUP(E13,DISTANCE!$1:$1048576,6,0)</f>
        <v>3.18</v>
      </c>
      <c r="I13" s="7" t="str">
        <f t="shared" si="1"/>
        <v/>
      </c>
    </row>
    <row r="14" spans="1:9" x14ac:dyDescent="0.25">
      <c r="A14" s="10" t="s">
        <v>281</v>
      </c>
      <c r="C14" s="6">
        <v>10</v>
      </c>
      <c r="D14" s="7" t="s">
        <v>452</v>
      </c>
      <c r="E14" s="6" t="str">
        <f>VLOOKUP(A14,COV!$1:$1048576,2,0)</f>
        <v>RJ14GT8165</v>
      </c>
      <c r="F14" s="6">
        <f>VLOOKUP(A14,COV!$1:$1048576,3,0)</f>
        <v>98</v>
      </c>
      <c r="G14" s="6">
        <f>VLOOKUP(E14,DISTANCE!$1:$1048576,5,0)</f>
        <v>16.010000000000002</v>
      </c>
      <c r="H14" s="6">
        <f>VLOOKUP(E14,DISTANCE!$1:$1048576,6,0)</f>
        <v>1.98</v>
      </c>
      <c r="I14" s="7" t="str">
        <f t="shared" si="1"/>
        <v/>
      </c>
    </row>
    <row r="15" spans="1:9" x14ac:dyDescent="0.25">
      <c r="A15" s="10" t="s">
        <v>210</v>
      </c>
      <c r="C15" s="6">
        <v>11</v>
      </c>
      <c r="D15" s="7" t="s">
        <v>453</v>
      </c>
      <c r="E15" s="6" t="str">
        <f>VLOOKUP(A15,COV!$1:$1048576,2,0)</f>
        <v>RJ14GT8920</v>
      </c>
      <c r="F15" s="6">
        <f>VLOOKUP(A15,COV!$1:$1048576,3,0)</f>
        <v>96</v>
      </c>
      <c r="G15" s="6">
        <f>VLOOKUP(E15,DISTANCE!$1:$1048576,5,0)</f>
        <v>19.75</v>
      </c>
      <c r="H15" s="6">
        <f>VLOOKUP(E15,DISTANCE!$1:$1048576,6,0)</f>
        <v>4.13</v>
      </c>
      <c r="I15" s="7" t="str">
        <f t="shared" si="1"/>
        <v/>
      </c>
    </row>
    <row r="16" spans="1:9" x14ac:dyDescent="0.25">
      <c r="A16" s="10" t="s">
        <v>236</v>
      </c>
      <c r="C16" s="6">
        <v>12</v>
      </c>
      <c r="D16" s="7" t="s">
        <v>453</v>
      </c>
      <c r="E16" s="6" t="str">
        <f>VLOOKUP(A16,COV!$1:$1048576,2,0)</f>
        <v>RJ14GT9048</v>
      </c>
      <c r="F16" s="6">
        <f>VLOOKUP(A16,COV!$1:$1048576,3,0)</f>
        <v>86</v>
      </c>
      <c r="G16" s="6">
        <f>VLOOKUP(E16,DISTANCE!$1:$1048576,5,0)</f>
        <v>23.66</v>
      </c>
      <c r="H16" s="6">
        <f>VLOOKUP(E16,DISTANCE!$1:$1048576,6,0)</f>
        <v>3.96</v>
      </c>
      <c r="I16" s="7" t="str">
        <f t="shared" si="1"/>
        <v/>
      </c>
    </row>
    <row r="17" spans="1:9" x14ac:dyDescent="0.25">
      <c r="A17" s="10" t="s">
        <v>264</v>
      </c>
      <c r="C17" s="6">
        <v>13</v>
      </c>
      <c r="D17" s="7" t="s">
        <v>454</v>
      </c>
      <c r="E17" s="6" t="str">
        <f>VLOOKUP(A17,COV!$1:$1048576,2,0)</f>
        <v>RJ14GT8099</v>
      </c>
      <c r="F17" s="6">
        <f>VLOOKUP(A17,COV!$1:$1048576,3,0)</f>
        <v>85</v>
      </c>
      <c r="G17" s="6">
        <f>VLOOKUP(E17,DISTANCE!$1:$1048576,5,0)</f>
        <v>21.22</v>
      </c>
      <c r="H17" s="6">
        <f>VLOOKUP(E17,DISTANCE!$1:$1048576,6,0)</f>
        <v>4.53</v>
      </c>
      <c r="I17" s="7" t="str">
        <f t="shared" si="1"/>
        <v/>
      </c>
    </row>
    <row r="18" spans="1:9" x14ac:dyDescent="0.25">
      <c r="A18" s="10" t="s">
        <v>280</v>
      </c>
      <c r="C18" s="6">
        <v>14</v>
      </c>
      <c r="D18" s="7" t="s">
        <v>454</v>
      </c>
      <c r="E18" s="6" t="str">
        <f>VLOOKUP(A18,COV!$1:$1048576,2,0)</f>
        <v>RJ14GT8976</v>
      </c>
      <c r="F18" s="50" t="s">
        <v>1239</v>
      </c>
      <c r="G18" s="51"/>
      <c r="H18" s="51"/>
      <c r="I18" s="52"/>
    </row>
    <row r="19" spans="1:9" x14ac:dyDescent="0.25">
      <c r="A19" s="10" t="s">
        <v>289</v>
      </c>
      <c r="C19" s="6">
        <v>15</v>
      </c>
      <c r="D19" s="7" t="s">
        <v>455</v>
      </c>
      <c r="E19" s="6" t="str">
        <f>VLOOKUP(A19,COV!$1:$1048576,2,0)</f>
        <v>RJ14GT8840</v>
      </c>
      <c r="F19" s="6">
        <f>VLOOKUP(A19,COV!$1:$1048576,3,0)</f>
        <v>78</v>
      </c>
      <c r="G19" s="6">
        <f>VLOOKUP(E19,DISTANCE!$1:$1048576,5,0)</f>
        <v>28.24</v>
      </c>
      <c r="H19" s="6">
        <f>VLOOKUP(E19,DISTANCE!$1:$1048576,6,0)</f>
        <v>4.43</v>
      </c>
      <c r="I19" s="7" t="str">
        <f t="shared" ref="I19:I25" si="3">IF(F19&lt;70,"DRIVER FAULT","")</f>
        <v/>
      </c>
    </row>
    <row r="20" spans="1:9" x14ac:dyDescent="0.25">
      <c r="A20" s="10" t="s">
        <v>303</v>
      </c>
      <c r="C20" s="6">
        <v>16</v>
      </c>
      <c r="D20" s="7" t="s">
        <v>455</v>
      </c>
      <c r="E20" s="6" t="str">
        <f>VLOOKUP(A20,COV!$1:$1048576,2,0)</f>
        <v>RJ14GT9465</v>
      </c>
      <c r="F20" s="6">
        <f>VLOOKUP(A20,COV!$1:$1048576,3,0)</f>
        <v>83</v>
      </c>
      <c r="G20" s="6">
        <f>VLOOKUP(E20,DISTANCE!$1:$1048576,5,0)</f>
        <v>21.24</v>
      </c>
      <c r="H20" s="6">
        <f>VLOOKUP(E20,DISTANCE!$1:$1048576,6,0)</f>
        <v>3.62</v>
      </c>
      <c r="I20" s="7" t="str">
        <f t="shared" si="3"/>
        <v/>
      </c>
    </row>
    <row r="21" spans="1:9" x14ac:dyDescent="0.25">
      <c r="A21" s="10" t="s">
        <v>275</v>
      </c>
      <c r="C21" s="6">
        <v>17</v>
      </c>
      <c r="D21" s="7" t="s">
        <v>456</v>
      </c>
      <c r="E21" s="6" t="str">
        <f>VLOOKUP(A21,COV!$1:$1048576,2,0)</f>
        <v>RJ14GT8923</v>
      </c>
      <c r="F21" s="6">
        <f>VLOOKUP(A21,COV!$1:$1048576,3,0)</f>
        <v>98</v>
      </c>
      <c r="G21" s="6">
        <f>VLOOKUP(E21,DISTANCE!$1:$1048576,5,0)</f>
        <v>14.73</v>
      </c>
      <c r="H21" s="6">
        <f>VLOOKUP(E21,DISTANCE!$1:$1048576,6,0)</f>
        <v>1.99</v>
      </c>
      <c r="I21" s="7" t="str">
        <f t="shared" si="3"/>
        <v/>
      </c>
    </row>
    <row r="22" spans="1:9" x14ac:dyDescent="0.25">
      <c r="A22" s="10" t="s">
        <v>291</v>
      </c>
      <c r="C22" s="6">
        <v>18</v>
      </c>
      <c r="D22" s="7" t="s">
        <v>456</v>
      </c>
      <c r="E22" s="6" t="str">
        <f>VLOOKUP(A22,COV!$1:$1048576,2,0)</f>
        <v>RJ14GT9975</v>
      </c>
      <c r="F22" s="6">
        <f>VLOOKUP(A22,COV!$1:$1048576,3,0)</f>
        <v>96</v>
      </c>
      <c r="G22" s="6">
        <f>VLOOKUP(E22,DISTANCE!$1:$1048576,5,0)</f>
        <v>14.62</v>
      </c>
      <c r="H22" s="6">
        <f>VLOOKUP(E22,DISTANCE!$1:$1048576,6,0)</f>
        <v>2.79</v>
      </c>
      <c r="I22" s="7" t="str">
        <f t="shared" si="3"/>
        <v/>
      </c>
    </row>
    <row r="23" spans="1:9" x14ac:dyDescent="0.25">
      <c r="A23" s="10" t="s">
        <v>255</v>
      </c>
      <c r="C23" s="6">
        <v>19</v>
      </c>
      <c r="D23" s="7" t="s">
        <v>457</v>
      </c>
      <c r="E23" s="6" t="str">
        <f>VLOOKUP(A23,COV!$1:$1048576,2,0)</f>
        <v>RJ14GT8966</v>
      </c>
      <c r="F23" s="6">
        <f>VLOOKUP(A23,COV!$1:$1048576,3,0)</f>
        <v>100</v>
      </c>
      <c r="G23" s="6">
        <f>VLOOKUP(E23,DISTANCE!$1:$1048576,5,0)</f>
        <v>25.09</v>
      </c>
      <c r="H23" s="6">
        <f>VLOOKUP(E23,DISTANCE!$1:$1048576,6,0)</f>
        <v>4.6399999999999997</v>
      </c>
      <c r="I23" s="7" t="str">
        <f t="shared" si="3"/>
        <v/>
      </c>
    </row>
    <row r="24" spans="1:9" x14ac:dyDescent="0.25">
      <c r="A24" s="10" t="s">
        <v>306</v>
      </c>
      <c r="C24" s="6">
        <v>20</v>
      </c>
      <c r="D24" s="7" t="s">
        <v>457</v>
      </c>
      <c r="E24" s="6" t="str">
        <f>VLOOKUP(A24,COV!$1:$1048576,2,0)</f>
        <v>RJ14GU0636</v>
      </c>
      <c r="F24" s="6">
        <f>VLOOKUP(A24,COV!$1:$1048576,3,0)</f>
        <v>100</v>
      </c>
      <c r="G24" s="6">
        <f>VLOOKUP(E24,DISTANCE!$1:$1048576,5,0)</f>
        <v>14.64</v>
      </c>
      <c r="H24" s="6">
        <f>VLOOKUP(E24,DISTANCE!$1:$1048576,6,0)</f>
        <v>2.78</v>
      </c>
      <c r="I24" s="7" t="str">
        <f t="shared" si="3"/>
        <v/>
      </c>
    </row>
    <row r="25" spans="1:9" x14ac:dyDescent="0.25">
      <c r="A25" s="10" t="s">
        <v>256</v>
      </c>
      <c r="C25" s="6">
        <v>21</v>
      </c>
      <c r="D25" s="7" t="s">
        <v>458</v>
      </c>
      <c r="E25" s="6" t="str">
        <f>VLOOKUP(A25,COV!$1:$1048576,2,0)</f>
        <v>RJ14GT9462</v>
      </c>
      <c r="F25" s="6">
        <f>VLOOKUP(A25,COV!$1:$1048576,3,0)</f>
        <v>60</v>
      </c>
      <c r="G25" s="6">
        <f>VLOOKUP(E25,DISTANCE!$1:$1048576,5,0)</f>
        <v>11.37</v>
      </c>
      <c r="H25" s="6">
        <f>VLOOKUP(E25,DISTANCE!$1:$1048576,6,0)</f>
        <v>2.2200000000000002</v>
      </c>
      <c r="I25" s="7" t="str">
        <f t="shared" si="3"/>
        <v>DRIVER FAULT</v>
      </c>
    </row>
    <row r="26" spans="1:9" x14ac:dyDescent="0.25">
      <c r="A26" s="10" t="s">
        <v>266</v>
      </c>
      <c r="C26" s="6">
        <v>22</v>
      </c>
      <c r="D26" s="7" t="s">
        <v>458</v>
      </c>
      <c r="E26" s="6" t="str">
        <f>VLOOKUP(A26,COV!$1:$1048576,2,0)</f>
        <v>RJ14GT9033</v>
      </c>
      <c r="F26" s="6">
        <f>VLOOKUP(A26,COV!$1:$1048576,3,0)</f>
        <v>100</v>
      </c>
      <c r="G26" s="6">
        <f>VLOOKUP(E26,DISTANCE!$1:$1048576,5,0)</f>
        <v>21.83</v>
      </c>
      <c r="H26" s="6">
        <f>VLOOKUP(E26,DISTANCE!$1:$1048576,6,0)</f>
        <v>4.53</v>
      </c>
      <c r="I26" s="7" t="str">
        <f t="shared" ref="I26:I27" si="4">IF(F26&lt;70,"DRIVER FAULT","")</f>
        <v/>
      </c>
    </row>
    <row r="27" spans="1:9" x14ac:dyDescent="0.25">
      <c r="A27" s="10" t="s">
        <v>241</v>
      </c>
      <c r="C27" s="6">
        <v>23</v>
      </c>
      <c r="D27" s="7" t="s">
        <v>459</v>
      </c>
      <c r="E27" s="6" t="str">
        <f>VLOOKUP(A27,COV!$1:$1048576,2,0)</f>
        <v>RJ14GT8853</v>
      </c>
      <c r="F27" s="6">
        <f>VLOOKUP(A27,COV!$1:$1048576,3,0)</f>
        <v>82</v>
      </c>
      <c r="G27" s="6">
        <f>VLOOKUP(E27,DISTANCE!$1:$1048576,5,0)</f>
        <v>21.43</v>
      </c>
      <c r="H27" s="6">
        <f>VLOOKUP(E27,DISTANCE!$1:$1048576,6,0)</f>
        <v>4.92</v>
      </c>
      <c r="I27" s="7" t="str">
        <f t="shared" si="4"/>
        <v/>
      </c>
    </row>
    <row r="28" spans="1:9" x14ac:dyDescent="0.25">
      <c r="A28" s="10" t="s">
        <v>276</v>
      </c>
      <c r="C28" s="6">
        <v>24</v>
      </c>
      <c r="D28" s="7" t="s">
        <v>459</v>
      </c>
      <c r="E28" s="6" t="str">
        <f>VLOOKUP(A28,COV!$1:$1048576,2,0)</f>
        <v>RJ14GT8161</v>
      </c>
      <c r="F28" s="6">
        <f>VLOOKUP(A28,COV!$1:$1048576,3,0)</f>
        <v>93</v>
      </c>
      <c r="G28" s="6">
        <f>VLOOKUP(E28,DISTANCE!$1:$1048576,5,0)</f>
        <v>7.99</v>
      </c>
      <c r="H28" s="6">
        <f>VLOOKUP(E28,DISTANCE!$1:$1048576,6,0)</f>
        <v>2.74</v>
      </c>
      <c r="I28" s="7" t="str">
        <f t="shared" ref="I28" si="5">IF(F28&lt;70,"DRIVER FAULT","")</f>
        <v/>
      </c>
    </row>
    <row r="29" spans="1:9" ht="15" customHeight="1" x14ac:dyDescent="0.25">
      <c r="A29" s="10" t="s">
        <v>257</v>
      </c>
      <c r="C29" s="6">
        <v>25</v>
      </c>
      <c r="D29" s="7" t="s">
        <v>460</v>
      </c>
      <c r="E29" s="6" t="str">
        <f>VLOOKUP(A29,COV!$1:$1048576,2,0)</f>
        <v>RJ14GT8162</v>
      </c>
      <c r="F29" s="6">
        <f>VLOOKUP(A29,COV!$1:$1048576,3,0)</f>
        <v>93</v>
      </c>
      <c r="G29" s="6">
        <f>VLOOKUP(E29,DISTANCE!$1:$1048576,5,0)</f>
        <v>26.74</v>
      </c>
      <c r="H29" s="6">
        <f>VLOOKUP(E29,DISTANCE!$1:$1048576,6,0)</f>
        <v>4.28</v>
      </c>
      <c r="I29" s="7" t="str">
        <f t="shared" si="1"/>
        <v/>
      </c>
    </row>
    <row r="30" spans="1:9" x14ac:dyDescent="0.25">
      <c r="A30" s="10" t="s">
        <v>272</v>
      </c>
      <c r="C30" s="6">
        <v>26</v>
      </c>
      <c r="D30" s="7" t="s">
        <v>460</v>
      </c>
      <c r="E30" s="6" t="str">
        <f>VLOOKUP(A30,COV!$1:$1048576,2,0)</f>
        <v>RJ14GT9479</v>
      </c>
      <c r="F30" s="6">
        <f>VLOOKUP(A30,COV!$1:$1048576,3,0)</f>
        <v>95</v>
      </c>
      <c r="G30" s="6">
        <f>VLOOKUP(E30,DISTANCE!$1:$1048576,5,0)</f>
        <v>28.25</v>
      </c>
      <c r="H30" s="6">
        <f>VLOOKUP(E30,DISTANCE!$1:$1048576,6,0)</f>
        <v>7.66</v>
      </c>
      <c r="I30" s="7" t="str">
        <f t="shared" si="1"/>
        <v/>
      </c>
    </row>
    <row r="31" spans="1:9" x14ac:dyDescent="0.25">
      <c r="A31" s="10" t="s">
        <v>239</v>
      </c>
      <c r="C31" s="6">
        <v>27</v>
      </c>
      <c r="D31" s="7" t="s">
        <v>461</v>
      </c>
      <c r="E31" s="6" t="str">
        <f>VLOOKUP(A31,COV!$1:$1048576,2,0)</f>
        <v>RJ14GT9486</v>
      </c>
      <c r="F31" s="6">
        <f>VLOOKUP(A31,COV!$1:$1048576,3,0)</f>
        <v>63</v>
      </c>
      <c r="G31" s="6">
        <f>VLOOKUP(E31,DISTANCE!$1:$1048576,5,0)</f>
        <v>32.43</v>
      </c>
      <c r="H31" s="6">
        <f>VLOOKUP(E31,DISTANCE!$1:$1048576,6,0)</f>
        <v>5.26</v>
      </c>
      <c r="I31" s="7" t="str">
        <f t="shared" si="1"/>
        <v>DRIVER FAULT</v>
      </c>
    </row>
    <row r="32" spans="1:9" x14ac:dyDescent="0.25">
      <c r="A32" s="10" t="s">
        <v>267</v>
      </c>
      <c r="C32" s="6">
        <v>28</v>
      </c>
      <c r="D32" s="7" t="s">
        <v>461</v>
      </c>
      <c r="E32" s="6" t="str">
        <f>VLOOKUP(A32,COV!$1:$1048576,2,0)</f>
        <v>RJ14GT8910</v>
      </c>
      <c r="F32" s="6">
        <f>VLOOKUP(A32,COV!$1:$1048576,3,0)</f>
        <v>94</v>
      </c>
      <c r="G32" s="6">
        <f>VLOOKUP(E32,DISTANCE!$1:$1048576,5,0)</f>
        <v>19.89</v>
      </c>
      <c r="H32" s="6">
        <f>VLOOKUP(E32,DISTANCE!$1:$1048576,6,0)</f>
        <v>3.18</v>
      </c>
      <c r="I32" s="7" t="str">
        <f t="shared" si="1"/>
        <v/>
      </c>
    </row>
    <row r="33" spans="1:9" x14ac:dyDescent="0.25">
      <c r="A33" s="10" t="s">
        <v>207</v>
      </c>
      <c r="C33" s="6">
        <v>29</v>
      </c>
      <c r="D33" s="7" t="s">
        <v>462</v>
      </c>
      <c r="E33" s="6" t="str">
        <f>VLOOKUP(A33,COV!$1:$1048576,2,0)</f>
        <v>RJ14GT8972</v>
      </c>
      <c r="F33" s="6">
        <f>VLOOKUP(A33,COV!$1:$1048576,3,0)</f>
        <v>85</v>
      </c>
      <c r="G33" s="6">
        <f>VLOOKUP(E33,DISTANCE!$1:$1048576,5,0)</f>
        <v>26.48</v>
      </c>
      <c r="H33" s="6">
        <f>VLOOKUP(E33,DISTANCE!$1:$1048576,6,0)</f>
        <v>6.73</v>
      </c>
      <c r="I33" s="7" t="str">
        <f t="shared" si="1"/>
        <v/>
      </c>
    </row>
    <row r="34" spans="1:9" x14ac:dyDescent="0.25">
      <c r="A34" s="10" t="s">
        <v>234</v>
      </c>
      <c r="C34" s="6">
        <v>30</v>
      </c>
      <c r="D34" s="7" t="s">
        <v>462</v>
      </c>
      <c r="E34" s="6" t="str">
        <f>VLOOKUP(A34,COV!$1:$1048576,2,0)</f>
        <v>RJ14GT9452</v>
      </c>
      <c r="F34" s="6">
        <f>VLOOKUP(A34,COV!$1:$1048576,3,0)</f>
        <v>87</v>
      </c>
      <c r="G34" s="6">
        <f>VLOOKUP(E34,DISTANCE!$1:$1048576,5,0)</f>
        <v>17.440000000000001</v>
      </c>
      <c r="H34" s="6">
        <f>VLOOKUP(E34,DISTANCE!$1:$1048576,6,0)</f>
        <v>3.59</v>
      </c>
      <c r="I34" s="7" t="str">
        <f t="shared" si="1"/>
        <v/>
      </c>
    </row>
    <row r="35" spans="1:9" x14ac:dyDescent="0.25">
      <c r="A35" s="10" t="s">
        <v>235</v>
      </c>
      <c r="C35" s="6">
        <v>31</v>
      </c>
      <c r="D35" s="7" t="s">
        <v>463</v>
      </c>
      <c r="E35" s="6" t="str">
        <f>VLOOKUP(A35,COV!$1:$1048576,2,0)</f>
        <v>RJ14GT9024</v>
      </c>
      <c r="F35" s="6">
        <f>VLOOKUP(A35,COV!$1:$1048576,3,0)</f>
        <v>80</v>
      </c>
      <c r="G35" s="6">
        <f>VLOOKUP(E35,DISTANCE!$1:$1048576,5,0)</f>
        <v>18.649999999999999</v>
      </c>
      <c r="H35" s="6">
        <f>VLOOKUP(E35,DISTANCE!$1:$1048576,6,0)</f>
        <v>4.21</v>
      </c>
      <c r="I35" s="7" t="str">
        <f t="shared" si="1"/>
        <v/>
      </c>
    </row>
    <row r="36" spans="1:9" x14ac:dyDescent="0.25">
      <c r="A36" s="10" t="s">
        <v>271</v>
      </c>
      <c r="C36" s="6">
        <v>32</v>
      </c>
      <c r="D36" s="7" t="s">
        <v>463</v>
      </c>
      <c r="E36" s="6" t="str">
        <f>VLOOKUP(A36,COV!$1:$1048576,2,0)</f>
        <v>RJ14GT8922</v>
      </c>
      <c r="F36" s="6">
        <f>VLOOKUP(A36,COV!$1:$1048576,3,0)</f>
        <v>93</v>
      </c>
      <c r="G36" s="6">
        <f>VLOOKUP(E36,DISTANCE!$1:$1048576,5,0)</f>
        <v>29.86</v>
      </c>
      <c r="H36" s="6">
        <f>VLOOKUP(E36,DISTANCE!$1:$1048576,6,0)</f>
        <v>6.9</v>
      </c>
      <c r="I36" s="7" t="str">
        <f t="shared" si="1"/>
        <v/>
      </c>
    </row>
    <row r="37" spans="1:9" x14ac:dyDescent="0.25">
      <c r="A37" s="10" t="s">
        <v>279</v>
      </c>
      <c r="C37" s="6">
        <v>33</v>
      </c>
      <c r="D37" s="7" t="s">
        <v>464</v>
      </c>
      <c r="E37" s="6" t="str">
        <f>VLOOKUP(A37,COV!$1:$1048576,2,0)</f>
        <v>RJ14GT9469</v>
      </c>
      <c r="F37" s="6">
        <f>VLOOKUP(A37,COV!$1:$1048576,3,0)</f>
        <v>92</v>
      </c>
      <c r="G37" s="6">
        <f>VLOOKUP(E37,DISTANCE!$1:$1048576,5,0)</f>
        <v>24.82</v>
      </c>
      <c r="H37" s="6">
        <f>VLOOKUP(E37,DISTANCE!$1:$1048576,6,0)</f>
        <v>5.1100000000000003</v>
      </c>
      <c r="I37" s="7" t="str">
        <f t="shared" si="1"/>
        <v/>
      </c>
    </row>
    <row r="38" spans="1:9" x14ac:dyDescent="0.25">
      <c r="A38" s="10" t="s">
        <v>287</v>
      </c>
      <c r="C38" s="6">
        <v>34</v>
      </c>
      <c r="D38" s="7" t="s">
        <v>464</v>
      </c>
      <c r="E38" s="6" t="str">
        <f>VLOOKUP(A38,COV!$1:$1048576,2,0)</f>
        <v>RJ14GT8927</v>
      </c>
      <c r="F38" s="6">
        <f>VLOOKUP(A38,COV!$1:$1048576,3,0)</f>
        <v>98</v>
      </c>
      <c r="G38" s="6">
        <f>VLOOKUP(E38,DISTANCE!$1:$1048576,5,0)</f>
        <v>36.69</v>
      </c>
      <c r="H38" s="6">
        <f>VLOOKUP(E38,DISTANCE!$1:$1048576,6,0)</f>
        <v>9.19</v>
      </c>
      <c r="I38" s="7" t="str">
        <f t="shared" si="1"/>
        <v/>
      </c>
    </row>
    <row r="39" spans="1:9" x14ac:dyDescent="0.25">
      <c r="A39" s="10" t="s">
        <v>261</v>
      </c>
      <c r="C39" s="6">
        <v>35</v>
      </c>
      <c r="D39" s="7" t="s">
        <v>465</v>
      </c>
      <c r="E39" s="6" t="str">
        <f>VLOOKUP(A39,COV!$1:$1048576,2,0)</f>
        <v>RJ14GT9039</v>
      </c>
      <c r="F39" s="6">
        <f>VLOOKUP(A39,COV!$1:$1048576,3,0)</f>
        <v>100</v>
      </c>
      <c r="G39" s="6">
        <f>VLOOKUP(E39,DISTANCE!$1:$1048576,5,0)</f>
        <v>31.76</v>
      </c>
      <c r="H39" s="6">
        <f>VLOOKUP(E39,DISTANCE!$1:$1048576,6,0)</f>
        <v>7.03</v>
      </c>
      <c r="I39" s="7" t="str">
        <f t="shared" si="1"/>
        <v/>
      </c>
    </row>
    <row r="40" spans="1:9" x14ac:dyDescent="0.25">
      <c r="A40" s="10" t="s">
        <v>278</v>
      </c>
      <c r="C40" s="6">
        <v>36</v>
      </c>
      <c r="D40" s="7" t="s">
        <v>465</v>
      </c>
      <c r="E40" s="6" t="str">
        <f>VLOOKUP(A40,COV!$1:$1048576,2,0)</f>
        <v>RJ14GT9027</v>
      </c>
      <c r="F40" s="6">
        <f>VLOOKUP(A40,COV!$1:$1048576,3,0)</f>
        <v>100</v>
      </c>
      <c r="G40" s="6">
        <f>VLOOKUP(E40,DISTANCE!$1:$1048576,5,0)</f>
        <v>20.11</v>
      </c>
      <c r="H40" s="6">
        <f>VLOOKUP(E40,DISTANCE!$1:$1048576,6,0)</f>
        <v>5.07</v>
      </c>
      <c r="I40" s="7" t="str">
        <f t="shared" si="1"/>
        <v/>
      </c>
    </row>
    <row r="41" spans="1:9" x14ac:dyDescent="0.25">
      <c r="A41" s="10" t="s">
        <v>220</v>
      </c>
      <c r="C41" s="6">
        <v>37</v>
      </c>
      <c r="D41" s="7" t="s">
        <v>466</v>
      </c>
      <c r="E41" s="6" t="str">
        <f>VLOOKUP(A41,COV!$1:$1048576,2,0)</f>
        <v>RJ14GT8932</v>
      </c>
      <c r="F41" s="6">
        <f>VLOOKUP(A41,COV!$1:$1048576,3,0)</f>
        <v>100</v>
      </c>
      <c r="G41" s="6">
        <f>VLOOKUP(E41,DISTANCE!$1:$1048576,5,0)</f>
        <v>19.260000000000002</v>
      </c>
      <c r="H41" s="6">
        <f>VLOOKUP(E41,DISTANCE!$1:$1048576,6,0)</f>
        <v>3.28</v>
      </c>
      <c r="I41" s="7" t="str">
        <f t="shared" si="1"/>
        <v/>
      </c>
    </row>
    <row r="42" spans="1:9" x14ac:dyDescent="0.25">
      <c r="A42" s="10" t="s">
        <v>307</v>
      </c>
      <c r="C42" s="6">
        <v>38</v>
      </c>
      <c r="D42" s="7" t="s">
        <v>466</v>
      </c>
      <c r="E42" s="6" t="str">
        <f>VLOOKUP(A42,COV!$1:$1048576,2,0)</f>
        <v>RJ14GT8926</v>
      </c>
      <c r="F42" s="6">
        <f>VLOOKUP(A42,COV!$1:$1048576,3,0)</f>
        <v>95</v>
      </c>
      <c r="G42" s="6">
        <f>VLOOKUP(E42,DISTANCE!$1:$1048576,5,0)</f>
        <v>36.020000000000003</v>
      </c>
      <c r="H42" s="6">
        <f>VLOOKUP(E42,DISTANCE!$1:$1048576,6,0)</f>
        <v>4.0199999999999996</v>
      </c>
      <c r="I42" s="7" t="str">
        <f t="shared" ref="I42:I43" si="6">IF(F42&lt;70,"DRIVER FAULT","")</f>
        <v/>
      </c>
    </row>
    <row r="43" spans="1:9" x14ac:dyDescent="0.25">
      <c r="A43" s="10" t="s">
        <v>208</v>
      </c>
      <c r="C43" s="6">
        <v>39</v>
      </c>
      <c r="D43" s="7" t="s">
        <v>467</v>
      </c>
      <c r="E43" s="6" t="str">
        <f>VLOOKUP(A43,COV!$1:$1048576,2,0)</f>
        <v>RJ14GT9029</v>
      </c>
      <c r="F43" s="6">
        <f>VLOOKUP(A43,COV!$1:$1048576,3,0)</f>
        <v>90</v>
      </c>
      <c r="G43" s="6">
        <f>VLOOKUP(E43,DISTANCE!$1:$1048576,5,0)</f>
        <v>19.72</v>
      </c>
      <c r="H43" s="6">
        <f>VLOOKUP(E43,DISTANCE!$1:$1048576,6,0)</f>
        <v>4.9000000000000004</v>
      </c>
      <c r="I43" s="7" t="str">
        <f t="shared" si="6"/>
        <v/>
      </c>
    </row>
    <row r="44" spans="1:9" x14ac:dyDescent="0.25">
      <c r="A44" s="10" t="s">
        <v>283</v>
      </c>
      <c r="C44" s="6">
        <v>40</v>
      </c>
      <c r="D44" s="7" t="s">
        <v>467</v>
      </c>
      <c r="E44" s="6" t="str">
        <f>VLOOKUP(A44,COV!$1:$1048576,2,0)</f>
        <v>RJ14GT9473</v>
      </c>
      <c r="F44" s="6">
        <f>VLOOKUP(A44,COV!$1:$1048576,3,0)</f>
        <v>92</v>
      </c>
      <c r="G44" s="6">
        <f>VLOOKUP(E44,DISTANCE!$1:$1048576,5,0)</f>
        <v>28.67</v>
      </c>
      <c r="H44" s="6">
        <f>VLOOKUP(E44,DISTANCE!$1:$1048576,6,0)</f>
        <v>5.34</v>
      </c>
      <c r="I44" s="7" t="str">
        <f t="shared" ref="I44:I45" si="7">IF(F44&lt;70,"DRIVER FAULT","")</f>
        <v/>
      </c>
    </row>
    <row r="45" spans="1:9" x14ac:dyDescent="0.25">
      <c r="A45" s="10" t="s">
        <v>274</v>
      </c>
      <c r="C45" s="6">
        <v>41</v>
      </c>
      <c r="D45" s="7" t="s">
        <v>468</v>
      </c>
      <c r="E45" s="6" t="str">
        <f>VLOOKUP(A45,COV!$1:$1048576,2,0)</f>
        <v>RJ14GT8974</v>
      </c>
      <c r="F45" s="6">
        <f>VLOOKUP(A45,COV!$1:$1048576,3,0)</f>
        <v>96</v>
      </c>
      <c r="G45" s="6">
        <f>VLOOKUP(E45,DISTANCE!$1:$1048576,5,0)</f>
        <v>31.37</v>
      </c>
      <c r="H45" s="6">
        <f>VLOOKUP(E45,DISTANCE!$1:$1048576,6,0)</f>
        <v>5.22</v>
      </c>
      <c r="I45" s="7" t="str">
        <f t="shared" si="7"/>
        <v/>
      </c>
    </row>
    <row r="46" spans="1:9" x14ac:dyDescent="0.25">
      <c r="A46" s="10" t="s">
        <v>277</v>
      </c>
      <c r="C46" s="6">
        <v>42</v>
      </c>
      <c r="D46" s="7" t="s">
        <v>468</v>
      </c>
      <c r="E46" s="6" t="str">
        <f>VLOOKUP(A46,COV!$1:$1048576,2,0)</f>
        <v>RJ14GT8960</v>
      </c>
      <c r="F46" s="6">
        <f>VLOOKUP(A46,COV!$1:$1048576,3,0)</f>
        <v>100</v>
      </c>
      <c r="G46" s="6">
        <f>VLOOKUP(E46,DISTANCE!$1:$1048576,5,0)</f>
        <v>43.14</v>
      </c>
      <c r="H46" s="6">
        <f>VLOOKUP(E46,DISTANCE!$1:$1048576,6,0)</f>
        <v>4.03</v>
      </c>
      <c r="I46" s="7" t="str">
        <f t="shared" ref="I46" si="8">IF(F46&lt;70,"DRIVER FAULT","")</f>
        <v/>
      </c>
    </row>
    <row r="47" spans="1:9" x14ac:dyDescent="0.25">
      <c r="C47" s="48" t="s">
        <v>144</v>
      </c>
      <c r="D47" s="48"/>
      <c r="E47" s="48"/>
      <c r="F47" s="15">
        <f>AVERAGE(F5:F46)</f>
        <v>91.219512195121951</v>
      </c>
      <c r="G47" s="15">
        <f>AVERAGE(G5:G46)</f>
        <v>23.302439024390239</v>
      </c>
      <c r="H47" s="15">
        <f>AVERAGE(H5:H46)</f>
        <v>4.4460975609756108</v>
      </c>
      <c r="I47" s="7"/>
    </row>
  </sheetData>
  <mergeCells count="5">
    <mergeCell ref="C1:I1"/>
    <mergeCell ref="C2:I2"/>
    <mergeCell ref="C3:I3"/>
    <mergeCell ref="C47:E47"/>
    <mergeCell ref="F18:I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40F5-B274-4F10-B7C1-42BB6ADF0591}">
  <sheetPr>
    <pageSetUpPr fitToPage="1"/>
  </sheetPr>
  <dimension ref="A1:I76"/>
  <sheetViews>
    <sheetView topLeftCell="B29" workbookViewId="0">
      <selection activeCell="F52" sqref="C1:I76"/>
    </sheetView>
  </sheetViews>
  <sheetFormatPr defaultRowHeight="15" x14ac:dyDescent="0.25"/>
  <cols>
    <col min="1" max="1" width="22" hidden="1" customWidth="1"/>
    <col min="3" max="3" width="8.42578125" customWidth="1"/>
    <col min="4" max="4" width="21.42578125" customWidth="1"/>
    <col min="5" max="5" width="18.140625" customWidth="1"/>
    <col min="6" max="6" width="15.42578125" bestFit="1" customWidth="1"/>
    <col min="7" max="7" width="19.7109375" customWidth="1"/>
    <col min="8" max="8" width="21.5703125" bestFit="1" customWidth="1"/>
    <col min="9" max="9" width="17.140625" style="10" customWidth="1"/>
  </cols>
  <sheetData>
    <row r="1" spans="1:9" x14ac:dyDescent="0.25">
      <c r="C1" s="48" t="s">
        <v>335</v>
      </c>
      <c r="D1" s="48"/>
      <c r="E1" s="48"/>
      <c r="F1" s="48"/>
      <c r="G1" s="48"/>
      <c r="H1" s="48"/>
      <c r="I1" s="48"/>
    </row>
    <row r="2" spans="1:9" x14ac:dyDescent="0.25">
      <c r="C2" s="48" t="s">
        <v>336</v>
      </c>
      <c r="D2" s="48"/>
      <c r="E2" s="48"/>
      <c r="F2" s="48"/>
      <c r="G2" s="48"/>
      <c r="H2" s="48"/>
      <c r="I2" s="48"/>
    </row>
    <row r="3" spans="1:9" x14ac:dyDescent="0.25">
      <c r="C3" s="49">
        <f ca="1">TODAY()</f>
        <v>46178</v>
      </c>
      <c r="D3" s="49"/>
      <c r="E3" s="49"/>
      <c r="F3" s="49"/>
      <c r="G3" s="49"/>
      <c r="H3" s="49"/>
      <c r="I3" s="49"/>
    </row>
    <row r="4" spans="1:9" x14ac:dyDescent="0.25">
      <c r="C4" s="3" t="s">
        <v>142</v>
      </c>
      <c r="D4" s="3" t="s">
        <v>0</v>
      </c>
      <c r="E4" s="3" t="s">
        <v>139</v>
      </c>
      <c r="F4" s="3" t="s">
        <v>138</v>
      </c>
      <c r="G4" s="3" t="s">
        <v>4</v>
      </c>
      <c r="H4" s="3" t="s">
        <v>5</v>
      </c>
      <c r="I4" s="3" t="s">
        <v>337</v>
      </c>
    </row>
    <row r="5" spans="1:9" x14ac:dyDescent="0.25">
      <c r="A5" t="s">
        <v>469</v>
      </c>
      <c r="C5" s="6">
        <v>1</v>
      </c>
      <c r="D5" s="7" t="s">
        <v>425</v>
      </c>
      <c r="E5" s="6" t="str">
        <f>VLOOKUP(A5,COV!$1:$1048576,2,0)</f>
        <v>RJ14GT8126</v>
      </c>
      <c r="F5" s="6">
        <f>VLOOKUP(A5,COV!$1:$1048576,3,0)</f>
        <v>94</v>
      </c>
      <c r="G5" s="6">
        <f>VLOOKUP(E5,DISTANCE!$1:$1048576,5,0)</f>
        <v>28.09</v>
      </c>
      <c r="H5" s="6">
        <f>VLOOKUP(E5,DISTANCE!$1:$1048576,6,0)</f>
        <v>5.36</v>
      </c>
      <c r="I5" s="7" t="str">
        <f t="shared" ref="I5" si="0">IF(F5&lt;70,"DRIVER FAULT","")</f>
        <v/>
      </c>
    </row>
    <row r="6" spans="1:9" x14ac:dyDescent="0.25">
      <c r="A6" t="s">
        <v>470</v>
      </c>
      <c r="C6" s="6">
        <v>2</v>
      </c>
      <c r="D6" s="7" t="s">
        <v>425</v>
      </c>
      <c r="E6" s="6" t="str">
        <f>VLOOKUP(A6,COV!$1:$1048576,2,0)</f>
        <v>RJ14GT8106</v>
      </c>
      <c r="F6" s="6">
        <f>VLOOKUP(A6,COV!$1:$1048576,3,0)</f>
        <v>91</v>
      </c>
      <c r="G6" s="6">
        <f>VLOOKUP(E6,DISTANCE!$1:$1048576,5,0)</f>
        <v>22.17</v>
      </c>
      <c r="H6" s="6">
        <f>VLOOKUP(E6,DISTANCE!$1:$1048576,6,0)</f>
        <v>2.9</v>
      </c>
      <c r="I6" s="7" t="str">
        <f t="shared" ref="I6" si="1">IF(F6&lt;70,"DRIVER FAULT","")</f>
        <v/>
      </c>
    </row>
    <row r="7" spans="1:9" x14ac:dyDescent="0.25">
      <c r="A7" t="s">
        <v>537</v>
      </c>
      <c r="C7" s="6">
        <v>3</v>
      </c>
      <c r="D7" s="7" t="s">
        <v>425</v>
      </c>
      <c r="E7" s="6" t="str">
        <f>VLOOKUP(A7,COV!$1:$1048576,2,0)</f>
        <v>RJ14GT8112</v>
      </c>
      <c r="F7" s="6">
        <f>VLOOKUP(A7,COV!$1:$1048576,3,0)</f>
        <v>91</v>
      </c>
      <c r="G7" s="6">
        <f>VLOOKUP(E7,DISTANCE!$1:$1048576,5,0)</f>
        <v>40.590000000000003</v>
      </c>
      <c r="H7" s="6">
        <f>VLOOKUP(E7,DISTANCE!$1:$1048576,6,0)</f>
        <v>9.0500000000000007</v>
      </c>
      <c r="I7" s="7" t="str">
        <f t="shared" ref="I7:I66" si="2">IF(F7&lt;70,"DRIVER FAULT","")</f>
        <v/>
      </c>
    </row>
    <row r="8" spans="1:9" x14ac:dyDescent="0.25">
      <c r="A8" t="s">
        <v>471</v>
      </c>
      <c r="C8" s="6">
        <v>4</v>
      </c>
      <c r="D8" s="7" t="s">
        <v>426</v>
      </c>
      <c r="E8" s="6" t="str">
        <f>VLOOKUP(A8,COV!$1:$1048576,2,0)</f>
        <v>RJ14GT8105</v>
      </c>
      <c r="F8" s="6">
        <f>VLOOKUP(A8,COV!$1:$1048576,3,0)</f>
        <v>90</v>
      </c>
      <c r="G8" s="6">
        <f>VLOOKUP(E8,DISTANCE!$1:$1048576,5,0)</f>
        <v>26.11</v>
      </c>
      <c r="H8" s="6">
        <f>VLOOKUP(E8,DISTANCE!$1:$1048576,6,0)</f>
        <v>3.34</v>
      </c>
      <c r="I8" s="7" t="str">
        <f t="shared" si="2"/>
        <v/>
      </c>
    </row>
    <row r="9" spans="1:9" x14ac:dyDescent="0.25">
      <c r="A9" t="s">
        <v>472</v>
      </c>
      <c r="C9" s="6">
        <v>5</v>
      </c>
      <c r="D9" s="7" t="s">
        <v>426</v>
      </c>
      <c r="E9" s="6" t="str">
        <f>VLOOKUP(A9,COV!$1:$1048576,2,0)</f>
        <v>SVC09122</v>
      </c>
      <c r="F9" s="6">
        <f>VLOOKUP(A9,COV!$1:$1048576,3,0)</f>
        <v>89</v>
      </c>
      <c r="G9" s="6">
        <f>VLOOKUP(E9,DISTANCE!$1:$1048576,5,0)</f>
        <v>39.94</v>
      </c>
      <c r="H9" s="6">
        <f>VLOOKUP(E9,DISTANCE!$1:$1048576,6,0)</f>
        <v>4.29</v>
      </c>
      <c r="I9" s="7" t="str">
        <f t="shared" ref="I9" si="3">IF(F9&lt;70,"DRIVER FAULT","")</f>
        <v/>
      </c>
    </row>
    <row r="10" spans="1:9" x14ac:dyDescent="0.25">
      <c r="A10" t="s">
        <v>473</v>
      </c>
      <c r="C10" s="6">
        <v>6</v>
      </c>
      <c r="D10" s="7" t="s">
        <v>427</v>
      </c>
      <c r="E10" s="6" t="str">
        <f>VLOOKUP(A10,COV!$1:$1048576,2,0)</f>
        <v>RJ14GT9036</v>
      </c>
      <c r="F10" s="6">
        <f>VLOOKUP(A10,COV!$1:$1048576,3,0)</f>
        <v>100</v>
      </c>
      <c r="G10" s="6">
        <f>VLOOKUP(E10,DISTANCE!$1:$1048576,5,0)</f>
        <v>13.11</v>
      </c>
      <c r="H10" s="6">
        <f>VLOOKUP(E10,DISTANCE!$1:$1048576,6,0)</f>
        <v>1.52</v>
      </c>
      <c r="I10" s="7" t="str">
        <f t="shared" si="2"/>
        <v/>
      </c>
    </row>
    <row r="11" spans="1:9" x14ac:dyDescent="0.25">
      <c r="A11" t="s">
        <v>474</v>
      </c>
      <c r="C11" s="6">
        <v>7</v>
      </c>
      <c r="D11" s="7" t="s">
        <v>427</v>
      </c>
      <c r="E11" s="6" t="str">
        <f>VLOOKUP(A11,COV!$1:$1048576,2,0)</f>
        <v>RJ14GT8110</v>
      </c>
      <c r="F11" s="6">
        <f>VLOOKUP(A11,COV!$1:$1048576,3,0)</f>
        <v>93</v>
      </c>
      <c r="G11" s="6">
        <f>VLOOKUP(E11,DISTANCE!$1:$1048576,5,0)</f>
        <v>13.08</v>
      </c>
      <c r="H11" s="6">
        <f>VLOOKUP(E11,DISTANCE!$1:$1048576,6,0)</f>
        <v>2.4500000000000002</v>
      </c>
      <c r="I11" s="7" t="str">
        <f t="shared" si="2"/>
        <v/>
      </c>
    </row>
    <row r="12" spans="1:9" x14ac:dyDescent="0.25">
      <c r="A12" t="s">
        <v>475</v>
      </c>
      <c r="C12" s="6">
        <v>8</v>
      </c>
      <c r="D12" s="7" t="s">
        <v>427</v>
      </c>
      <c r="E12" s="6" t="str">
        <f>VLOOKUP(A12,COV!$1:$1048576,2,0)</f>
        <v>RJ14GT7552</v>
      </c>
      <c r="F12" s="6">
        <f>VLOOKUP(A12,COV!$1:$1048576,3,0)</f>
        <v>100</v>
      </c>
      <c r="G12" s="6">
        <f>VLOOKUP(E12,DISTANCE!$1:$1048576,5,0)</f>
        <v>15.88</v>
      </c>
      <c r="H12" s="6">
        <f>VLOOKUP(E12,DISTANCE!$1:$1048576,6,0)</f>
        <v>3.03</v>
      </c>
      <c r="I12" s="7" t="str">
        <f t="shared" si="2"/>
        <v/>
      </c>
    </row>
    <row r="13" spans="1:9" x14ac:dyDescent="0.25">
      <c r="A13" t="s">
        <v>476</v>
      </c>
      <c r="C13" s="6">
        <v>9</v>
      </c>
      <c r="D13" s="7" t="s">
        <v>428</v>
      </c>
      <c r="E13" s="6" t="str">
        <f>VLOOKUP(A13,COV!$1:$1048576,2,0)</f>
        <v>RJ14GT8386</v>
      </c>
      <c r="F13" s="6">
        <f>VLOOKUP(A13,COV!$1:$1048576,3,0)</f>
        <v>96</v>
      </c>
      <c r="G13" s="6">
        <f>VLOOKUP(E13,DISTANCE!$1:$1048576,5,0)</f>
        <v>21.2</v>
      </c>
      <c r="H13" s="6">
        <f>VLOOKUP(E13,DISTANCE!$1:$1048576,6,0)</f>
        <v>2.89</v>
      </c>
      <c r="I13" s="7" t="str">
        <f t="shared" si="2"/>
        <v/>
      </c>
    </row>
    <row r="14" spans="1:9" x14ac:dyDescent="0.25">
      <c r="A14" t="s">
        <v>477</v>
      </c>
      <c r="C14" s="6">
        <v>10</v>
      </c>
      <c r="D14" s="7" t="s">
        <v>428</v>
      </c>
      <c r="E14" s="6" t="str">
        <f>VLOOKUP(A14,COV!$1:$1048576,2,0)</f>
        <v>RJ14GT7541</v>
      </c>
      <c r="F14" s="6">
        <f>VLOOKUP(A14,COV!$1:$1048576,3,0)</f>
        <v>92</v>
      </c>
      <c r="G14" s="6">
        <f>VLOOKUP(E14,DISTANCE!$1:$1048576,5,0)</f>
        <v>24.81</v>
      </c>
      <c r="H14" s="6">
        <f>VLOOKUP(E14,DISTANCE!$1:$1048576,6,0)</f>
        <v>3.58</v>
      </c>
      <c r="I14" s="7" t="str">
        <f t="shared" si="2"/>
        <v/>
      </c>
    </row>
    <row r="15" spans="1:9" x14ac:dyDescent="0.25">
      <c r="A15" t="s">
        <v>478</v>
      </c>
      <c r="C15" s="6">
        <v>11</v>
      </c>
      <c r="D15" s="7" t="s">
        <v>428</v>
      </c>
      <c r="E15" s="6" t="str">
        <f>VLOOKUP(A15,COV!$1:$1048576,2,0)</f>
        <v>RJ14GT8132</v>
      </c>
      <c r="F15" s="6">
        <f>VLOOKUP(A15,COV!$1:$1048576,3,0)</f>
        <v>93</v>
      </c>
      <c r="G15" s="6">
        <f>VLOOKUP(E15,DISTANCE!$1:$1048576,5,0)</f>
        <v>46.25</v>
      </c>
      <c r="H15" s="6">
        <f>VLOOKUP(E15,DISTANCE!$1:$1048576,6,0)</f>
        <v>4.1399999999999997</v>
      </c>
      <c r="I15" s="7" t="str">
        <f t="shared" si="2"/>
        <v/>
      </c>
    </row>
    <row r="16" spans="1:9" x14ac:dyDescent="0.25">
      <c r="A16" t="s">
        <v>479</v>
      </c>
      <c r="C16" s="6">
        <v>12</v>
      </c>
      <c r="D16" s="7" t="s">
        <v>429</v>
      </c>
      <c r="E16" s="6" t="str">
        <f>VLOOKUP(A16,COV!$1:$1048576,2,0)</f>
        <v>RJ14GT8826</v>
      </c>
      <c r="F16" s="6">
        <f>VLOOKUP(A16,COV!$1:$1048576,3,0)</f>
        <v>91</v>
      </c>
      <c r="G16" s="6">
        <f>VLOOKUP(E16,DISTANCE!$1:$1048576,5,0)</f>
        <v>11.64</v>
      </c>
      <c r="H16" s="6">
        <f>VLOOKUP(E16,DISTANCE!$1:$1048576,6,0)</f>
        <v>2.3199999999999998</v>
      </c>
      <c r="I16" s="7" t="str">
        <f t="shared" si="2"/>
        <v/>
      </c>
    </row>
    <row r="17" spans="1:9" x14ac:dyDescent="0.25">
      <c r="A17" t="s">
        <v>480</v>
      </c>
      <c r="C17" s="6">
        <v>13</v>
      </c>
      <c r="D17" s="7" t="s">
        <v>429</v>
      </c>
      <c r="E17" s="6" t="str">
        <f>VLOOKUP(A17,COV!$1:$1048576,2,0)</f>
        <v>SVD11746</v>
      </c>
      <c r="F17" s="6">
        <f>VLOOKUP(A17,COV!$1:$1048576,3,0)</f>
        <v>92</v>
      </c>
      <c r="G17" s="6">
        <f>VLOOKUP(E17,DISTANCE!$1:$1048576,5,0)</f>
        <v>77.97</v>
      </c>
      <c r="H17" s="6">
        <f>VLOOKUP(E17,DISTANCE!$1:$1048576,6,0)</f>
        <v>7.91</v>
      </c>
      <c r="I17" s="7" t="str">
        <f t="shared" si="2"/>
        <v/>
      </c>
    </row>
    <row r="18" spans="1:9" x14ac:dyDescent="0.25">
      <c r="A18" t="s">
        <v>481</v>
      </c>
      <c r="C18" s="6">
        <v>14</v>
      </c>
      <c r="D18" s="7" t="s">
        <v>430</v>
      </c>
      <c r="E18" s="6" t="str">
        <f>VLOOKUP(A18,COV!$1:$1048576,2,0)</f>
        <v>RJ14GT8137</v>
      </c>
      <c r="F18" s="6">
        <f>VLOOKUP(A18,COV!$1:$1048576,3,0)</f>
        <v>93</v>
      </c>
      <c r="G18" s="6">
        <f>VLOOKUP(E18,DISTANCE!$1:$1048576,5,0)</f>
        <v>46.18</v>
      </c>
      <c r="H18" s="6">
        <f>VLOOKUP(E18,DISTANCE!$1:$1048576,6,0)</f>
        <v>4.6100000000000003</v>
      </c>
      <c r="I18" s="7" t="str">
        <f t="shared" si="2"/>
        <v/>
      </c>
    </row>
    <row r="19" spans="1:9" x14ac:dyDescent="0.25">
      <c r="A19" t="s">
        <v>482</v>
      </c>
      <c r="C19" s="6">
        <v>15</v>
      </c>
      <c r="D19" s="7" t="s">
        <v>430</v>
      </c>
      <c r="E19" s="6" t="str">
        <f>VLOOKUP(A19,COV!$1:$1048576,2,0)</f>
        <v>RJ14GT7564SP</v>
      </c>
      <c r="F19" s="6">
        <f>VLOOKUP(A19,COV!$1:$1048576,3,0)</f>
        <v>95</v>
      </c>
      <c r="G19" s="6">
        <f>VLOOKUP(E19,DISTANCE!$1:$1048576,5,0)</f>
        <v>45.37</v>
      </c>
      <c r="H19" s="6">
        <f>VLOOKUP(E19,DISTANCE!$1:$1048576,6,0)</f>
        <v>5.46</v>
      </c>
      <c r="I19" s="7" t="str">
        <f t="shared" ref="I19:I20" si="4">IF(F19&lt;70,"DRIVER FAULT","")</f>
        <v/>
      </c>
    </row>
    <row r="20" spans="1:9" x14ac:dyDescent="0.25">
      <c r="A20" t="s">
        <v>483</v>
      </c>
      <c r="C20" s="6">
        <v>16</v>
      </c>
      <c r="D20" s="7" t="s">
        <v>430</v>
      </c>
      <c r="E20" s="6" t="str">
        <f>VLOOKUP(A20,COV!$1:$1048576,2,0)</f>
        <v>RJ14GT8122</v>
      </c>
      <c r="F20" s="6">
        <f>VLOOKUP(A20,COV!$1:$1048576,3,0)</f>
        <v>98</v>
      </c>
      <c r="G20" s="6">
        <f>VLOOKUP(E20,DISTANCE!$1:$1048576,5,0)</f>
        <v>51.64</v>
      </c>
      <c r="H20" s="6">
        <f>VLOOKUP(E20,DISTANCE!$1:$1048576,6,0)</f>
        <v>5.33</v>
      </c>
      <c r="I20" s="7" t="str">
        <f t="shared" si="4"/>
        <v/>
      </c>
    </row>
    <row r="21" spans="1:9" x14ac:dyDescent="0.25">
      <c r="A21" t="s">
        <v>484</v>
      </c>
      <c r="C21" s="6">
        <v>17</v>
      </c>
      <c r="D21" s="7" t="s">
        <v>431</v>
      </c>
      <c r="E21" s="6" t="str">
        <f>VLOOKUP(A21,COV!$1:$1048576,2,0)</f>
        <v>RJ14GT9028</v>
      </c>
      <c r="F21" s="6">
        <f>VLOOKUP(A21,COV!$1:$1048576,3,0)</f>
        <v>100</v>
      </c>
      <c r="G21" s="6">
        <f>VLOOKUP(E21,DISTANCE!$1:$1048576,5,0)</f>
        <v>20.96</v>
      </c>
      <c r="H21" s="6">
        <f>VLOOKUP(E21,DISTANCE!$1:$1048576,6,0)</f>
        <v>2.34</v>
      </c>
      <c r="I21" s="7" t="str">
        <f t="shared" si="2"/>
        <v/>
      </c>
    </row>
    <row r="22" spans="1:9" x14ac:dyDescent="0.25">
      <c r="A22" t="s">
        <v>485</v>
      </c>
      <c r="C22" s="6">
        <v>18</v>
      </c>
      <c r="D22" s="7" t="s">
        <v>431</v>
      </c>
      <c r="E22" s="6" t="str">
        <f>VLOOKUP(A22,COV!$1:$1048576,2,0)</f>
        <v>RJ14GT8118</v>
      </c>
      <c r="F22" s="6">
        <f>VLOOKUP(A22,COV!$1:$1048576,3,0)</f>
        <v>100</v>
      </c>
      <c r="G22" s="6">
        <f>VLOOKUP(E22,DISTANCE!$1:$1048576,5,0)</f>
        <v>37.549999999999997</v>
      </c>
      <c r="H22" s="6">
        <f>VLOOKUP(E22,DISTANCE!$1:$1048576,6,0)</f>
        <v>4.21</v>
      </c>
      <c r="I22" s="7" t="str">
        <f t="shared" si="2"/>
        <v/>
      </c>
    </row>
    <row r="23" spans="1:9" x14ac:dyDescent="0.25">
      <c r="A23" t="s">
        <v>486</v>
      </c>
      <c r="C23" s="6">
        <v>19</v>
      </c>
      <c r="D23" s="7" t="s">
        <v>431</v>
      </c>
      <c r="E23" s="6" t="str">
        <f>VLOOKUP(A23,COV!$1:$1048576,2,0)</f>
        <v>RJ14GT8130</v>
      </c>
      <c r="F23" s="6">
        <f>VLOOKUP(A23,COV!$1:$1048576,3,0)</f>
        <v>94</v>
      </c>
      <c r="G23" s="6">
        <f>VLOOKUP(E23,DISTANCE!$1:$1048576,5,0)</f>
        <v>32.659999999999997</v>
      </c>
      <c r="H23" s="6">
        <f>VLOOKUP(E23,DISTANCE!$1:$1048576,6,0)</f>
        <v>6.78</v>
      </c>
      <c r="I23" s="7" t="str">
        <f t="shared" si="2"/>
        <v/>
      </c>
    </row>
    <row r="24" spans="1:9" x14ac:dyDescent="0.25">
      <c r="A24" t="s">
        <v>487</v>
      </c>
      <c r="C24" s="6">
        <v>20</v>
      </c>
      <c r="D24" s="7" t="s">
        <v>432</v>
      </c>
      <c r="E24" s="6" t="str">
        <f>VLOOKUP(A24,COV!$1:$1048576,2,0)</f>
        <v>RJ14GT8933</v>
      </c>
      <c r="F24" s="6">
        <f>VLOOKUP(A24,COV!$1:$1048576,3,0)</f>
        <v>93</v>
      </c>
      <c r="G24" s="6">
        <f>VLOOKUP(E24,DISTANCE!$1:$1048576,5,0)</f>
        <v>59.94</v>
      </c>
      <c r="H24" s="6">
        <f>VLOOKUP(E24,DISTANCE!$1:$1048576,6,0)</f>
        <v>6.45</v>
      </c>
      <c r="I24" s="7" t="str">
        <f t="shared" si="2"/>
        <v/>
      </c>
    </row>
    <row r="25" spans="1:9" x14ac:dyDescent="0.25">
      <c r="A25" t="s">
        <v>488</v>
      </c>
      <c r="C25" s="6">
        <v>21</v>
      </c>
      <c r="D25" s="7" t="s">
        <v>432</v>
      </c>
      <c r="E25" s="6" t="str">
        <f>VLOOKUP(A25,COV!$1:$1048576,2,0)</f>
        <v>RJ14GT8252</v>
      </c>
      <c r="F25" s="6">
        <f>VLOOKUP(A25,COV!$1:$1048576,3,0)</f>
        <v>92</v>
      </c>
      <c r="G25" s="6">
        <f>VLOOKUP(E25,DISTANCE!$1:$1048576,5,0)</f>
        <v>43.77</v>
      </c>
      <c r="H25" s="6">
        <f>VLOOKUP(E25,DISTANCE!$1:$1048576,6,0)</f>
        <v>7.1</v>
      </c>
      <c r="I25" s="7" t="str">
        <f t="shared" si="2"/>
        <v/>
      </c>
    </row>
    <row r="26" spans="1:9" x14ac:dyDescent="0.25">
      <c r="A26" t="s">
        <v>489</v>
      </c>
      <c r="C26" s="6">
        <v>22</v>
      </c>
      <c r="D26" s="7" t="s">
        <v>432</v>
      </c>
      <c r="E26" s="6" t="str">
        <f>VLOOKUP(A26,COV!$1:$1048576,2,0)</f>
        <v>SVF19725</v>
      </c>
      <c r="F26" s="6">
        <f>VLOOKUP(A26,COV!$1:$1048576,3,0)</f>
        <v>91</v>
      </c>
      <c r="G26" s="6">
        <f>VLOOKUP(E26,DISTANCE!$1:$1048576,5,0)</f>
        <v>49.64</v>
      </c>
      <c r="H26" s="6">
        <f>VLOOKUP(E26,DISTANCE!$1:$1048576,6,0)</f>
        <v>6.77</v>
      </c>
      <c r="I26" s="7" t="str">
        <f t="shared" ref="I26" si="5">IF(F26&lt;70,"DRIVER FAULT","")</f>
        <v/>
      </c>
    </row>
    <row r="27" spans="1:9" x14ac:dyDescent="0.25">
      <c r="A27" t="s">
        <v>490</v>
      </c>
      <c r="C27" s="6">
        <v>23</v>
      </c>
      <c r="D27" s="7" t="s">
        <v>433</v>
      </c>
      <c r="E27" s="6" t="str">
        <f>VLOOKUP(A27,COV!$1:$1048576,2,0)</f>
        <v>RJ14GT8262</v>
      </c>
      <c r="F27" s="6">
        <f>VLOOKUP(A27,COV!$1:$1048576,3,0)</f>
        <v>90</v>
      </c>
      <c r="G27" s="6">
        <f>VLOOKUP(E27,DISTANCE!$1:$1048576,5,0)</f>
        <v>27.89</v>
      </c>
      <c r="H27" s="6">
        <f>VLOOKUP(E27,DISTANCE!$1:$1048576,6,0)</f>
        <v>4.21</v>
      </c>
      <c r="I27" s="7" t="str">
        <f t="shared" ref="I27" si="6">IF(F27&lt;70,"DRIVER FAULT","")</f>
        <v/>
      </c>
    </row>
    <row r="28" spans="1:9" x14ac:dyDescent="0.25">
      <c r="A28" t="s">
        <v>491</v>
      </c>
      <c r="C28" s="6">
        <v>24</v>
      </c>
      <c r="D28" s="7" t="s">
        <v>433</v>
      </c>
      <c r="E28" s="6" t="str">
        <f>VLOOKUP(A28,COV!$1:$1048576,2,0)</f>
        <v>SVD11148</v>
      </c>
      <c r="F28" s="6">
        <f>VLOOKUP(A28,COV!$1:$1048576,3,0)</f>
        <v>94</v>
      </c>
      <c r="G28" s="6">
        <f>VLOOKUP(E28,DISTANCE!$1:$1048576,5,0)</f>
        <v>38.47</v>
      </c>
      <c r="H28" s="6">
        <f>VLOOKUP(E28,DISTANCE!$1:$1048576,6,0)</f>
        <v>5.43</v>
      </c>
      <c r="I28" s="7" t="str">
        <f t="shared" si="2"/>
        <v/>
      </c>
    </row>
    <row r="29" spans="1:9" x14ac:dyDescent="0.25">
      <c r="A29" t="s">
        <v>492</v>
      </c>
      <c r="C29" s="6">
        <v>25</v>
      </c>
      <c r="D29" s="7" t="s">
        <v>433</v>
      </c>
      <c r="E29" s="6" t="str">
        <f>VLOOKUP(A29,COV!$1:$1048576,2,0)</f>
        <v>SZE13376</v>
      </c>
      <c r="F29" s="6">
        <f>VLOOKUP(A29,COV!$1:$1048576,3,0)</f>
        <v>86</v>
      </c>
      <c r="G29" s="6">
        <f>VLOOKUP(E29,DISTANCE!$1:$1048576,5,0)</f>
        <v>37.68</v>
      </c>
      <c r="H29" s="6">
        <f>VLOOKUP(E29,DISTANCE!$1:$1048576,6,0)</f>
        <v>5.54</v>
      </c>
      <c r="I29" s="7" t="str">
        <f t="shared" si="2"/>
        <v/>
      </c>
    </row>
    <row r="30" spans="1:9" x14ac:dyDescent="0.25">
      <c r="A30" t="s">
        <v>493</v>
      </c>
      <c r="C30" s="6">
        <v>26</v>
      </c>
      <c r="D30" s="7" t="s">
        <v>434</v>
      </c>
      <c r="E30" s="6" t="str">
        <f>VLOOKUP(A30,COV!$1:$1048576,2,0)</f>
        <v>RJ14GT7544</v>
      </c>
      <c r="F30" s="6">
        <f>VLOOKUP(A30,COV!$1:$1048576,3,0)</f>
        <v>87</v>
      </c>
      <c r="G30" s="6">
        <f>VLOOKUP(E30,DISTANCE!$1:$1048576,5,0)</f>
        <v>43.26</v>
      </c>
      <c r="H30" s="6">
        <f>VLOOKUP(E30,DISTANCE!$1:$1048576,6,0)</f>
        <v>4.6399999999999997</v>
      </c>
      <c r="I30" s="7" t="str">
        <f t="shared" si="2"/>
        <v/>
      </c>
    </row>
    <row r="31" spans="1:9" x14ac:dyDescent="0.25">
      <c r="A31" t="s">
        <v>494</v>
      </c>
      <c r="C31" s="6">
        <v>27</v>
      </c>
      <c r="D31" s="7" t="s">
        <v>434</v>
      </c>
      <c r="E31" s="6" t="str">
        <f>VLOOKUP(A31,COV!$1:$1048576,2,0)</f>
        <v>RJ14GT8250</v>
      </c>
      <c r="F31" s="6">
        <f>VLOOKUP(A31,COV!$1:$1048576,3,0)</f>
        <v>100</v>
      </c>
      <c r="G31" s="6">
        <f>VLOOKUP(E31,DISTANCE!$1:$1048576,5,0)</f>
        <v>57.67</v>
      </c>
      <c r="H31" s="6">
        <f>VLOOKUP(E31,DISTANCE!$1:$1048576,6,0)</f>
        <v>6.93</v>
      </c>
      <c r="I31" s="7" t="str">
        <f t="shared" si="2"/>
        <v/>
      </c>
    </row>
    <row r="32" spans="1:9" x14ac:dyDescent="0.25">
      <c r="A32" t="s">
        <v>495</v>
      </c>
      <c r="C32" s="6">
        <v>28</v>
      </c>
      <c r="D32" s="7" t="s">
        <v>434</v>
      </c>
      <c r="E32" s="6" t="str">
        <f>VLOOKUP(A32,COV!$1:$1048576,2,0)</f>
        <v>RJ14GT9046</v>
      </c>
      <c r="F32" s="6">
        <f>VLOOKUP(A32,COV!$1:$1048576,3,0)</f>
        <v>76</v>
      </c>
      <c r="G32" s="6">
        <f>VLOOKUP(E32,DISTANCE!$1:$1048576,5,0)</f>
        <v>21.88</v>
      </c>
      <c r="H32" s="6">
        <f>VLOOKUP(E32,DISTANCE!$1:$1048576,6,0)</f>
        <v>4.8099999999999996</v>
      </c>
      <c r="I32" s="7" t="str">
        <f t="shared" ref="I32:I33" si="7">IF(F32&lt;70,"DRIVER FAULT","")</f>
        <v/>
      </c>
    </row>
    <row r="33" spans="1:9" x14ac:dyDescent="0.25">
      <c r="A33" t="s">
        <v>496</v>
      </c>
      <c r="C33" s="6">
        <v>29</v>
      </c>
      <c r="D33" s="7" t="s">
        <v>435</v>
      </c>
      <c r="E33" s="6" t="str">
        <f>VLOOKUP(A33,COV!$1:$1048576,2,0)</f>
        <v>RJ14GT8101</v>
      </c>
      <c r="F33" s="6">
        <f>VLOOKUP(A33,COV!$1:$1048576,3,0)</f>
        <v>80</v>
      </c>
      <c r="G33" s="6">
        <f>VLOOKUP(E33,DISTANCE!$1:$1048576,5,0)</f>
        <v>36.75</v>
      </c>
      <c r="H33" s="6">
        <f>VLOOKUP(E33,DISTANCE!$1:$1048576,6,0)</f>
        <v>6.68</v>
      </c>
      <c r="I33" s="7" t="str">
        <f t="shared" si="7"/>
        <v/>
      </c>
    </row>
    <row r="34" spans="1:9" x14ac:dyDescent="0.25">
      <c r="A34" t="s">
        <v>497</v>
      </c>
      <c r="C34" s="6">
        <v>30</v>
      </c>
      <c r="D34" s="7" t="s">
        <v>435</v>
      </c>
      <c r="E34" s="6" t="str">
        <f>VLOOKUP(A34,COV!$1:$1048576,2,0)</f>
        <v>RJ14GT8127</v>
      </c>
      <c r="F34" s="6">
        <f>VLOOKUP(A34,COV!$1:$1048576,3,0)</f>
        <v>86</v>
      </c>
      <c r="G34" s="6">
        <f>VLOOKUP(E34,DISTANCE!$1:$1048576,5,0)</f>
        <v>52.25</v>
      </c>
      <c r="H34" s="6">
        <f>VLOOKUP(E34,DISTANCE!$1:$1048576,6,0)</f>
        <v>5.44</v>
      </c>
      <c r="I34" s="7" t="str">
        <f t="shared" si="2"/>
        <v/>
      </c>
    </row>
    <row r="35" spans="1:9" x14ac:dyDescent="0.25">
      <c r="A35" t="s">
        <v>498</v>
      </c>
      <c r="C35" s="6">
        <v>31</v>
      </c>
      <c r="D35" s="7" t="s">
        <v>436</v>
      </c>
      <c r="E35" s="6" t="str">
        <f>VLOOKUP(A35,COV!$1:$1048576,2,0)</f>
        <v>RJ14GT8107</v>
      </c>
      <c r="F35" s="6">
        <f>VLOOKUP(A35,COV!$1:$1048576,3,0)</f>
        <v>87</v>
      </c>
      <c r="G35" s="6">
        <f>VLOOKUP(E35,DISTANCE!$1:$1048576,5,0)</f>
        <v>30.21</v>
      </c>
      <c r="H35" s="6">
        <f>VLOOKUP(E35,DISTANCE!$1:$1048576,6,0)</f>
        <v>5.12</v>
      </c>
      <c r="I35" s="7" t="str">
        <f t="shared" si="2"/>
        <v/>
      </c>
    </row>
    <row r="36" spans="1:9" x14ac:dyDescent="0.25">
      <c r="A36" t="s">
        <v>499</v>
      </c>
      <c r="C36" s="6">
        <v>32</v>
      </c>
      <c r="D36" s="7" t="s">
        <v>436</v>
      </c>
      <c r="E36" s="6" t="str">
        <f>VLOOKUP(A36,COV!$1:$1048576,2,0)</f>
        <v>SVF19531</v>
      </c>
      <c r="F36" s="6">
        <f>VLOOKUP(A36,COV!$1:$1048576,3,0)</f>
        <v>100</v>
      </c>
      <c r="G36" s="6">
        <f>VLOOKUP(E36,DISTANCE!$1:$1048576,5,0)</f>
        <v>32.520000000000003</v>
      </c>
      <c r="H36" s="6">
        <f>VLOOKUP(E36,DISTANCE!$1:$1048576,6,0)</f>
        <v>5.54</v>
      </c>
      <c r="I36" s="7" t="str">
        <f t="shared" si="2"/>
        <v/>
      </c>
    </row>
    <row r="37" spans="1:9" x14ac:dyDescent="0.25">
      <c r="A37" t="s">
        <v>500</v>
      </c>
      <c r="C37" s="6">
        <v>33</v>
      </c>
      <c r="D37" s="7" t="s">
        <v>436</v>
      </c>
      <c r="E37" s="6" t="str">
        <f>VLOOKUP(A37,COV!$1:$1048576,2,0)</f>
        <v>RJ14GT7545</v>
      </c>
      <c r="F37" s="6">
        <f>VLOOKUP(A37,COV!$1:$1048576,3,0)</f>
        <v>91</v>
      </c>
      <c r="G37" s="6">
        <f>VLOOKUP(E37,DISTANCE!$1:$1048576,5,0)</f>
        <v>48.06</v>
      </c>
      <c r="H37" s="6">
        <f>VLOOKUP(E37,DISTANCE!$1:$1048576,6,0)</f>
        <v>3.3</v>
      </c>
      <c r="I37" s="7" t="str">
        <f t="shared" si="2"/>
        <v/>
      </c>
    </row>
    <row r="38" spans="1:9" x14ac:dyDescent="0.25">
      <c r="A38" t="s">
        <v>501</v>
      </c>
      <c r="C38" s="6">
        <v>34</v>
      </c>
      <c r="D38" s="7" t="s">
        <v>437</v>
      </c>
      <c r="E38" s="6" t="str">
        <f>VLOOKUP(A38,COV!$1:$1048576,2,0)</f>
        <v>RJ14GT8098</v>
      </c>
      <c r="F38" s="6">
        <f>VLOOKUP(A38,COV!$1:$1048576,3,0)</f>
        <v>93</v>
      </c>
      <c r="G38" s="6">
        <f>VLOOKUP(E38,DISTANCE!$1:$1048576,5,0)</f>
        <v>30.88</v>
      </c>
      <c r="H38" s="6">
        <f>VLOOKUP(E38,DISTANCE!$1:$1048576,6,0)</f>
        <v>4.41</v>
      </c>
      <c r="I38" s="7" t="str">
        <f t="shared" si="2"/>
        <v/>
      </c>
    </row>
    <row r="39" spans="1:9" x14ac:dyDescent="0.25">
      <c r="A39" t="s">
        <v>502</v>
      </c>
      <c r="C39" s="6">
        <v>35</v>
      </c>
      <c r="D39" s="7" t="s">
        <v>437</v>
      </c>
      <c r="E39" s="6" t="str">
        <f>VLOOKUP(A39,COV!$1:$1048576,2,0)</f>
        <v>RJ14GT7553</v>
      </c>
      <c r="F39" s="6">
        <f>VLOOKUP(A39,COV!$1:$1048576,3,0)</f>
        <v>94</v>
      </c>
      <c r="G39" s="6">
        <f>VLOOKUP(E39,DISTANCE!$1:$1048576,5,0)</f>
        <v>30.72</v>
      </c>
      <c r="H39" s="6">
        <f>VLOOKUP(E39,DISTANCE!$1:$1048576,6,0)</f>
        <v>3.95</v>
      </c>
      <c r="I39" s="7" t="str">
        <f t="shared" si="2"/>
        <v/>
      </c>
    </row>
    <row r="40" spans="1:9" x14ac:dyDescent="0.25">
      <c r="A40" t="s">
        <v>503</v>
      </c>
      <c r="C40" s="6">
        <v>36</v>
      </c>
      <c r="D40" s="7" t="s">
        <v>437</v>
      </c>
      <c r="E40" s="6" t="str">
        <f>VLOOKUP(A40,COV!$1:$1048576,2,0)</f>
        <v>RJ14GT7547</v>
      </c>
      <c r="F40" s="6">
        <f>VLOOKUP(A40,COV!$1:$1048576,3,0)</f>
        <v>97</v>
      </c>
      <c r="G40" s="6">
        <f>VLOOKUP(E40,DISTANCE!$1:$1048576,5,0)</f>
        <v>60.99</v>
      </c>
      <c r="H40" s="6">
        <f>VLOOKUP(E40,DISTANCE!$1:$1048576,6,0)</f>
        <v>4.47</v>
      </c>
      <c r="I40" s="7" t="str">
        <f t="shared" si="2"/>
        <v/>
      </c>
    </row>
    <row r="41" spans="1:9" x14ac:dyDescent="0.25">
      <c r="A41" t="s">
        <v>504</v>
      </c>
      <c r="C41" s="6">
        <v>37</v>
      </c>
      <c r="D41" s="7" t="s">
        <v>438</v>
      </c>
      <c r="E41" s="6" t="str">
        <f>VLOOKUP(A41,COV!$1:$1048576,2,0)</f>
        <v>RJ14GT8296</v>
      </c>
      <c r="F41" s="6">
        <f>VLOOKUP(A41,COV!$1:$1048576,3,0)</f>
        <v>92</v>
      </c>
      <c r="G41" s="6">
        <f>VLOOKUP(E41,DISTANCE!$1:$1048576,5,0)</f>
        <v>36.39</v>
      </c>
      <c r="H41" s="6">
        <f>VLOOKUP(E41,DISTANCE!$1:$1048576,6,0)</f>
        <v>4.3099999999999996</v>
      </c>
      <c r="I41" s="7" t="str">
        <f t="shared" si="2"/>
        <v/>
      </c>
    </row>
    <row r="42" spans="1:9" x14ac:dyDescent="0.25">
      <c r="A42" t="s">
        <v>505</v>
      </c>
      <c r="C42" s="6">
        <v>38</v>
      </c>
      <c r="D42" s="7" t="s">
        <v>438</v>
      </c>
      <c r="E42" s="6" t="str">
        <f>VLOOKUP(A42,COV!$1:$1048576,2,0)</f>
        <v>RJ14GT8851</v>
      </c>
      <c r="F42" s="6">
        <f>VLOOKUP(A42,COV!$1:$1048576,3,0)</f>
        <v>92</v>
      </c>
      <c r="G42" s="6">
        <f>VLOOKUP(E42,DISTANCE!$1:$1048576,5,0)</f>
        <v>52.57</v>
      </c>
      <c r="H42" s="6">
        <f>VLOOKUP(E42,DISTANCE!$1:$1048576,6,0)</f>
        <v>5.89</v>
      </c>
      <c r="I42" s="7" t="str">
        <f t="shared" si="2"/>
        <v/>
      </c>
    </row>
    <row r="43" spans="1:9" x14ac:dyDescent="0.25">
      <c r="A43" t="s">
        <v>506</v>
      </c>
      <c r="C43" s="6">
        <v>39</v>
      </c>
      <c r="D43" s="7" t="s">
        <v>438</v>
      </c>
      <c r="E43" s="6" t="str">
        <f>VLOOKUP(A43,COV!$1:$1048576,2,0)</f>
        <v>RJ14GT7556</v>
      </c>
      <c r="F43" s="6">
        <f>VLOOKUP(A43,COV!$1:$1048576,3,0)</f>
        <v>89</v>
      </c>
      <c r="G43" s="6">
        <f>VLOOKUP(E43,DISTANCE!$1:$1048576,5,0)</f>
        <v>45.8</v>
      </c>
      <c r="H43" s="6">
        <f>VLOOKUP(E43,DISTANCE!$1:$1048576,6,0)</f>
        <v>5.34</v>
      </c>
      <c r="I43" s="7" t="str">
        <f t="shared" si="2"/>
        <v/>
      </c>
    </row>
    <row r="44" spans="1:9" x14ac:dyDescent="0.25">
      <c r="A44" t="s">
        <v>507</v>
      </c>
      <c r="C44" s="6">
        <v>40</v>
      </c>
      <c r="D44" s="7" t="s">
        <v>439</v>
      </c>
      <c r="E44" s="6" t="str">
        <f>VLOOKUP(A44,COV!$1:$1048576,2,0)</f>
        <v>RJ14GT8198</v>
      </c>
      <c r="F44" s="6">
        <f>VLOOKUP(A44,COV!$1:$1048576,3,0)</f>
        <v>90</v>
      </c>
      <c r="G44" s="6">
        <f>VLOOKUP(E44,DISTANCE!$1:$1048576,5,0)</f>
        <v>29.08</v>
      </c>
      <c r="H44" s="6">
        <f>VLOOKUP(E44,DISTANCE!$1:$1048576,6,0)</f>
        <v>1.93</v>
      </c>
      <c r="I44" s="7" t="str">
        <f t="shared" ref="I44:I49" si="8">IF(F44&lt;70,"DRIVER FAULT","")</f>
        <v/>
      </c>
    </row>
    <row r="45" spans="1:9" x14ac:dyDescent="0.25">
      <c r="A45" t="s">
        <v>508</v>
      </c>
      <c r="C45" s="6">
        <v>41</v>
      </c>
      <c r="D45" s="7" t="s">
        <v>439</v>
      </c>
      <c r="E45" s="6" t="str">
        <f>VLOOKUP(A45,COV!$1:$1048576,2,0)</f>
        <v>RJ14GT7555</v>
      </c>
      <c r="F45" s="6">
        <f>VLOOKUP(A45,COV!$1:$1048576,3,0)</f>
        <v>91</v>
      </c>
      <c r="G45" s="6">
        <f>VLOOKUP(E45,DISTANCE!$1:$1048576,5,0)</f>
        <v>29.12</v>
      </c>
      <c r="H45" s="6">
        <f>VLOOKUP(E45,DISTANCE!$1:$1048576,6,0)</f>
        <v>4.2</v>
      </c>
      <c r="I45" s="7" t="str">
        <f t="shared" si="8"/>
        <v/>
      </c>
    </row>
    <row r="46" spans="1:9" x14ac:dyDescent="0.25">
      <c r="A46" t="s">
        <v>509</v>
      </c>
      <c r="C46" s="6">
        <v>42</v>
      </c>
      <c r="D46" s="7" t="s">
        <v>439</v>
      </c>
      <c r="E46" s="6" t="str">
        <f>VLOOKUP(A46,COV!$1:$1048576,2,0)</f>
        <v>RJ14GT7560</v>
      </c>
      <c r="F46" s="6">
        <f>VLOOKUP(A46,COV!$1:$1048576,3,0)</f>
        <v>89</v>
      </c>
      <c r="G46" s="6">
        <f>VLOOKUP(E46,DISTANCE!$1:$1048576,5,0)</f>
        <v>44.62</v>
      </c>
      <c r="H46" s="6">
        <f>VLOOKUP(E46,DISTANCE!$1:$1048576,6,0)</f>
        <v>3.81</v>
      </c>
      <c r="I46" s="7" t="str">
        <f t="shared" si="8"/>
        <v/>
      </c>
    </row>
    <row r="47" spans="1:9" x14ac:dyDescent="0.25">
      <c r="A47" t="s">
        <v>510</v>
      </c>
      <c r="C47" s="6">
        <v>43</v>
      </c>
      <c r="D47" s="7" t="s">
        <v>440</v>
      </c>
      <c r="E47" s="6" t="str">
        <f>VLOOKUP(A47,COV!$1:$1048576,2,0)</f>
        <v>RJ14GT8116</v>
      </c>
      <c r="F47" s="6">
        <f>VLOOKUP(A47,COV!$1:$1048576,3,0)</f>
        <v>98</v>
      </c>
      <c r="G47" s="6">
        <f>VLOOKUP(E47,DISTANCE!$1:$1048576,5,0)</f>
        <v>26</v>
      </c>
      <c r="H47" s="6">
        <f>VLOOKUP(E47,DISTANCE!$1:$1048576,6,0)</f>
        <v>4.21</v>
      </c>
      <c r="I47" s="7" t="str">
        <f t="shared" si="8"/>
        <v/>
      </c>
    </row>
    <row r="48" spans="1:9" x14ac:dyDescent="0.25">
      <c r="A48" t="s">
        <v>511</v>
      </c>
      <c r="C48" s="6">
        <v>44</v>
      </c>
      <c r="D48" s="7" t="s">
        <v>440</v>
      </c>
      <c r="E48" s="6" t="str">
        <f>VLOOKUP(A48,COV!$1:$1048576,2,0)</f>
        <v>RJ14GT8855</v>
      </c>
      <c r="F48" s="50" t="s">
        <v>1251</v>
      </c>
      <c r="G48" s="51"/>
      <c r="H48" s="51"/>
      <c r="I48" s="52"/>
    </row>
    <row r="49" spans="1:9" x14ac:dyDescent="0.25">
      <c r="A49" t="s">
        <v>512</v>
      </c>
      <c r="C49" s="6">
        <v>45</v>
      </c>
      <c r="D49" s="7" t="s">
        <v>440</v>
      </c>
      <c r="E49" s="6" t="str">
        <f>VLOOKUP(A49,COV!$1:$1048576,2,0)</f>
        <v>RJ14GT8237</v>
      </c>
      <c r="F49" s="6">
        <f>VLOOKUP(A49,COV!$1:$1048576,3,0)</f>
        <v>92</v>
      </c>
      <c r="G49" s="6">
        <f>VLOOKUP(E49,DISTANCE!$1:$1048576,5,0)</f>
        <v>57.42</v>
      </c>
      <c r="H49" s="6">
        <f>VLOOKUP(E49,DISTANCE!$1:$1048576,6,0)</f>
        <v>5.64</v>
      </c>
      <c r="I49" s="7" t="str">
        <f t="shared" si="8"/>
        <v/>
      </c>
    </row>
    <row r="50" spans="1:9" x14ac:dyDescent="0.25">
      <c r="A50" t="s">
        <v>513</v>
      </c>
      <c r="C50" s="6">
        <v>46</v>
      </c>
      <c r="D50" s="7" t="s">
        <v>441</v>
      </c>
      <c r="E50" s="6" t="str">
        <f>VLOOKUP(A50,COV!$1:$1048576,2,0)</f>
        <v>RJ14GT7574</v>
      </c>
      <c r="F50" s="6">
        <f>VLOOKUP(A50,COV!$1:$1048576,3,0)</f>
        <v>45</v>
      </c>
      <c r="G50" s="6">
        <f>VLOOKUP(E50,DISTANCE!$1:$1048576,5,0)</f>
        <v>32.29</v>
      </c>
      <c r="H50" s="6">
        <f>VLOOKUP(E50,DISTANCE!$1:$1048576,6,0)</f>
        <v>4.71</v>
      </c>
      <c r="I50" s="7" t="str">
        <f t="shared" si="2"/>
        <v>DRIVER FAULT</v>
      </c>
    </row>
    <row r="51" spans="1:9" x14ac:dyDescent="0.25">
      <c r="A51" t="s">
        <v>514</v>
      </c>
      <c r="C51" s="6">
        <v>47</v>
      </c>
      <c r="D51" s="7" t="s">
        <v>441</v>
      </c>
      <c r="E51" s="6" t="str">
        <f>VLOOKUP(A51,COV!$1:$1048576,2,0)</f>
        <v>SVE15002</v>
      </c>
      <c r="F51" s="6">
        <f>VLOOKUP(A51,COV!$1:$1048576,3,0)</f>
        <v>91</v>
      </c>
      <c r="G51" s="6">
        <f>VLOOKUP(E51,DISTANCE!$1:$1048576,5,0)</f>
        <v>46.85</v>
      </c>
      <c r="H51" s="6">
        <f>VLOOKUP(E51,DISTANCE!$1:$1048576,6,0)</f>
        <v>5.54</v>
      </c>
      <c r="I51" s="7" t="str">
        <f t="shared" si="2"/>
        <v/>
      </c>
    </row>
    <row r="52" spans="1:9" x14ac:dyDescent="0.25">
      <c r="A52" t="s">
        <v>515</v>
      </c>
      <c r="C52" s="6">
        <v>48</v>
      </c>
      <c r="D52" s="7" t="s">
        <v>441</v>
      </c>
      <c r="E52" s="6" t="str">
        <f>VLOOKUP(A52,COV!$1:$1048576,2,0)</f>
        <v>RJ14GT8303</v>
      </c>
      <c r="F52" s="6">
        <f>VLOOKUP(A52,COV!$1:$1048576,3,0)</f>
        <v>91</v>
      </c>
      <c r="G52" s="6">
        <f>VLOOKUP(E52,DISTANCE!$1:$1048576,5,0)</f>
        <v>49.59</v>
      </c>
      <c r="H52" s="6">
        <f>VLOOKUP(E52,DISTANCE!$1:$1048576,6,0)</f>
        <v>5.83</v>
      </c>
      <c r="I52" s="7" t="str">
        <f t="shared" si="2"/>
        <v/>
      </c>
    </row>
    <row r="53" spans="1:9" x14ac:dyDescent="0.25">
      <c r="A53" t="s">
        <v>516</v>
      </c>
      <c r="C53" s="6">
        <v>49</v>
      </c>
      <c r="D53" s="7" t="s">
        <v>441</v>
      </c>
      <c r="E53" s="6" t="str">
        <f>VLOOKUP(A53,COV!$1:$1048576,2,0)</f>
        <v>SVF18994</v>
      </c>
      <c r="F53" s="6">
        <f>VLOOKUP(A53,COV!$1:$1048576,3,0)</f>
        <v>86</v>
      </c>
      <c r="G53" s="6">
        <f>VLOOKUP(E53,DISTANCE!$1:$1048576,5,0)</f>
        <v>36.369999999999997</v>
      </c>
      <c r="H53" s="6">
        <f>VLOOKUP(E53,DISTANCE!$1:$1048576,6,0)</f>
        <v>4.9400000000000004</v>
      </c>
      <c r="I53" s="7" t="str">
        <f t="shared" si="2"/>
        <v/>
      </c>
    </row>
    <row r="54" spans="1:9" x14ac:dyDescent="0.25">
      <c r="A54" t="s">
        <v>517</v>
      </c>
      <c r="C54" s="6">
        <v>50</v>
      </c>
      <c r="D54" s="7" t="s">
        <v>442</v>
      </c>
      <c r="E54" s="6" t="str">
        <f>VLOOKUP(A54,COV!$1:$1048576,2,0)</f>
        <v>RJ14GT8845</v>
      </c>
      <c r="F54" s="6">
        <f>VLOOKUP(A54,COV!$1:$1048576,3,0)</f>
        <v>94</v>
      </c>
      <c r="G54" s="6">
        <f>VLOOKUP(E54,DISTANCE!$1:$1048576,5,0)</f>
        <v>39.44</v>
      </c>
      <c r="H54" s="6">
        <f>VLOOKUP(E54,DISTANCE!$1:$1048576,6,0)</f>
        <v>3.91</v>
      </c>
      <c r="I54" s="7" t="str">
        <f t="shared" si="2"/>
        <v/>
      </c>
    </row>
    <row r="55" spans="1:9" x14ac:dyDescent="0.25">
      <c r="A55" t="s">
        <v>518</v>
      </c>
      <c r="C55" s="6">
        <v>51</v>
      </c>
      <c r="D55" s="7" t="s">
        <v>442</v>
      </c>
      <c r="E55" s="6" t="str">
        <f>VLOOKUP(A55,COV!$1:$1048576,2,0)</f>
        <v>RJ14GT8822</v>
      </c>
      <c r="F55" s="6">
        <f>VLOOKUP(A55,COV!$1:$1048576,3,0)</f>
        <v>96</v>
      </c>
      <c r="G55" s="6">
        <f>VLOOKUP(E55,DISTANCE!$1:$1048576,5,0)</f>
        <v>42.2</v>
      </c>
      <c r="H55" s="6">
        <f>VLOOKUP(E55,DISTANCE!$1:$1048576,6,0)</f>
        <v>2.77</v>
      </c>
      <c r="I55" s="7" t="str">
        <f t="shared" si="2"/>
        <v/>
      </c>
    </row>
    <row r="56" spans="1:9" x14ac:dyDescent="0.25">
      <c r="A56" t="s">
        <v>519</v>
      </c>
      <c r="C56" s="6">
        <v>52</v>
      </c>
      <c r="D56" s="7" t="s">
        <v>442</v>
      </c>
      <c r="E56" s="6" t="str">
        <f>VLOOKUP(A56,COV!$1:$1048576,2,0)</f>
        <v>RJ14GT8824</v>
      </c>
      <c r="F56" s="6">
        <f>VLOOKUP(A56,COV!$1:$1048576,3,0)</f>
        <v>91</v>
      </c>
      <c r="G56" s="6">
        <f>VLOOKUP(E56,DISTANCE!$1:$1048576,5,0)</f>
        <v>43.95</v>
      </c>
      <c r="H56" s="6">
        <f>VLOOKUP(E56,DISTANCE!$1:$1048576,6,0)</f>
        <v>5.53</v>
      </c>
      <c r="I56" s="7" t="str">
        <f t="shared" si="2"/>
        <v/>
      </c>
    </row>
    <row r="57" spans="1:9" x14ac:dyDescent="0.25">
      <c r="A57" t="s">
        <v>520</v>
      </c>
      <c r="C57" s="6">
        <v>53</v>
      </c>
      <c r="D57" s="7" t="s">
        <v>443</v>
      </c>
      <c r="E57" s="6" t="str">
        <f>VLOOKUP(A57,COV!$1:$1048576,2,0)</f>
        <v>RJ14GT8825</v>
      </c>
      <c r="F57" s="6">
        <f>VLOOKUP(A57,COV!$1:$1048576,3,0)</f>
        <v>91</v>
      </c>
      <c r="G57" s="6">
        <f>VLOOKUP(E57,DISTANCE!$1:$1048576,5,0)</f>
        <v>69.55</v>
      </c>
      <c r="H57" s="6">
        <f>VLOOKUP(E57,DISTANCE!$1:$1048576,6,0)</f>
        <v>8.01</v>
      </c>
      <c r="I57" s="7" t="str">
        <f t="shared" si="2"/>
        <v/>
      </c>
    </row>
    <row r="58" spans="1:9" x14ac:dyDescent="0.25">
      <c r="A58" t="s">
        <v>521</v>
      </c>
      <c r="C58" s="6">
        <v>54</v>
      </c>
      <c r="D58" s="7" t="s">
        <v>443</v>
      </c>
      <c r="E58" s="6" t="str">
        <f>VLOOKUP(A58,COV!$1:$1048576,2,0)</f>
        <v>RJ14GT8169</v>
      </c>
      <c r="F58" s="6">
        <f>VLOOKUP(A58,COV!$1:$1048576,3,0)</f>
        <v>100</v>
      </c>
      <c r="G58" s="6">
        <f>VLOOKUP(E58,DISTANCE!$1:$1048576,5,0)</f>
        <v>46.2</v>
      </c>
      <c r="H58" s="6">
        <f>VLOOKUP(E58,DISTANCE!$1:$1048576,6,0)</f>
        <v>6.9</v>
      </c>
      <c r="I58" s="7" t="str">
        <f t="shared" si="2"/>
        <v/>
      </c>
    </row>
    <row r="59" spans="1:9" x14ac:dyDescent="0.25">
      <c r="A59" t="s">
        <v>522</v>
      </c>
      <c r="C59" s="6">
        <v>55</v>
      </c>
      <c r="D59" s="7" t="s">
        <v>443</v>
      </c>
      <c r="E59" s="6" t="str">
        <f>VLOOKUP(A59,COV!$1:$1048576,2,0)</f>
        <v>RJ14GT8815</v>
      </c>
      <c r="F59" s="6">
        <f>VLOOKUP(A59,COV!$1:$1048576,3,0)</f>
        <v>89</v>
      </c>
      <c r="G59" s="6">
        <f>VLOOKUP(E59,DISTANCE!$1:$1048576,5,0)</f>
        <v>54.88</v>
      </c>
      <c r="H59" s="6">
        <f>VLOOKUP(E59,DISTANCE!$1:$1048576,6,0)</f>
        <v>5.73</v>
      </c>
      <c r="I59" s="7" t="str">
        <f t="shared" si="2"/>
        <v/>
      </c>
    </row>
    <row r="60" spans="1:9" x14ac:dyDescent="0.25">
      <c r="A60" t="s">
        <v>523</v>
      </c>
      <c r="C60" s="6">
        <v>56</v>
      </c>
      <c r="D60" s="7" t="s">
        <v>443</v>
      </c>
      <c r="E60" s="6" t="str">
        <f>VLOOKUP(A60,COV!$1:$1048576,2,0)</f>
        <v>RJ14GT8823</v>
      </c>
      <c r="F60" s="6">
        <f>VLOOKUP(A60,COV!$1:$1048576,3,0)</f>
        <v>87</v>
      </c>
      <c r="G60" s="6">
        <f>VLOOKUP(E60,DISTANCE!$1:$1048576,5,0)</f>
        <v>41.36</v>
      </c>
      <c r="H60" s="6">
        <f>VLOOKUP(E60,DISTANCE!$1:$1048576,6,0)</f>
        <v>5.92</v>
      </c>
      <c r="I60" s="7" t="str">
        <f t="shared" si="2"/>
        <v/>
      </c>
    </row>
    <row r="61" spans="1:9" x14ac:dyDescent="0.25">
      <c r="A61" t="s">
        <v>524</v>
      </c>
      <c r="C61" s="6">
        <v>57</v>
      </c>
      <c r="D61" s="7" t="s">
        <v>444</v>
      </c>
      <c r="E61" s="6" t="str">
        <f>VLOOKUP(A61,COV!$1:$1048576,2,0)</f>
        <v>RJ14GT7550</v>
      </c>
      <c r="F61" s="6">
        <f>VLOOKUP(A61,COV!$1:$1048576,3,0)</f>
        <v>90</v>
      </c>
      <c r="G61" s="6">
        <f>VLOOKUP(E61,DISTANCE!$1:$1048576,5,0)</f>
        <v>34.51</v>
      </c>
      <c r="H61" s="6">
        <f>VLOOKUP(E61,DISTANCE!$1:$1048576,6,0)</f>
        <v>2.19</v>
      </c>
      <c r="I61" s="7" t="str">
        <f t="shared" si="2"/>
        <v/>
      </c>
    </row>
    <row r="62" spans="1:9" x14ac:dyDescent="0.25">
      <c r="A62" t="s">
        <v>525</v>
      </c>
      <c r="C62" s="6">
        <v>58</v>
      </c>
      <c r="D62" s="7" t="s">
        <v>444</v>
      </c>
      <c r="E62" s="6" t="str">
        <f>VLOOKUP(A62,COV!$1:$1048576,2,0)</f>
        <v>RJ14GT7559</v>
      </c>
      <c r="F62" s="6">
        <f>VLOOKUP(A62,COV!$1:$1048576,3,0)</f>
        <v>98</v>
      </c>
      <c r="G62" s="6">
        <f>VLOOKUP(E62,DISTANCE!$1:$1048576,5,0)</f>
        <v>23.99</v>
      </c>
      <c r="H62" s="6">
        <f>VLOOKUP(E62,DISTANCE!$1:$1048576,6,0)</f>
        <v>2.89</v>
      </c>
      <c r="I62" s="7" t="str">
        <f t="shared" si="2"/>
        <v/>
      </c>
    </row>
    <row r="63" spans="1:9" x14ac:dyDescent="0.25">
      <c r="A63" t="s">
        <v>526</v>
      </c>
      <c r="C63" s="6">
        <v>59</v>
      </c>
      <c r="D63" s="7" t="s">
        <v>444</v>
      </c>
      <c r="E63" s="6" t="str">
        <f>VLOOKUP(A63,COV!$1:$1048576,2,0)</f>
        <v>RJ14GT8306</v>
      </c>
      <c r="F63" s="6">
        <f>VLOOKUP(A63,COV!$1:$1048576,3,0)</f>
        <v>92</v>
      </c>
      <c r="G63" s="6">
        <f>VLOOKUP(E63,DISTANCE!$1:$1048576,5,0)</f>
        <v>24.69</v>
      </c>
      <c r="H63" s="6">
        <f>VLOOKUP(E63,DISTANCE!$1:$1048576,6,0)</f>
        <v>2.78</v>
      </c>
      <c r="I63" s="7" t="str">
        <f t="shared" si="2"/>
        <v/>
      </c>
    </row>
    <row r="64" spans="1:9" x14ac:dyDescent="0.25">
      <c r="A64" t="s">
        <v>527</v>
      </c>
      <c r="C64" s="6">
        <v>60</v>
      </c>
      <c r="D64" s="7" t="s">
        <v>445</v>
      </c>
      <c r="E64" s="6" t="str">
        <f>VLOOKUP(A64,COV!$1:$1048576,2,0)</f>
        <v>SVE14909</v>
      </c>
      <c r="F64" s="6">
        <f>VLOOKUP(A64,COV!$1:$1048576,3,0)</f>
        <v>80</v>
      </c>
      <c r="G64" s="6">
        <f>VLOOKUP(E64,DISTANCE!$1:$1048576,5,0)</f>
        <v>39.630000000000003</v>
      </c>
      <c r="H64" s="6">
        <f>VLOOKUP(E64,DISTANCE!$1:$1048576,6,0)</f>
        <v>4.49</v>
      </c>
      <c r="I64" s="7" t="str">
        <f t="shared" ref="I64" si="9">IF(F64&lt;70,"DRIVER FAULT","")</f>
        <v/>
      </c>
    </row>
    <row r="65" spans="1:9" x14ac:dyDescent="0.25">
      <c r="A65" t="s">
        <v>528</v>
      </c>
      <c r="C65" s="6">
        <v>61</v>
      </c>
      <c r="D65" s="7" t="s">
        <v>445</v>
      </c>
      <c r="E65" s="6" t="str">
        <f>VLOOKUP(A65,COV!$1:$1048576,2,0)</f>
        <v>RJ14GT7570</v>
      </c>
      <c r="F65" s="6">
        <f>VLOOKUP(A65,COV!$1:$1048576,3,0)</f>
        <v>89</v>
      </c>
      <c r="G65" s="6">
        <f>VLOOKUP(E65,DISTANCE!$1:$1048576,5,0)</f>
        <v>19.79</v>
      </c>
      <c r="H65" s="6">
        <f>VLOOKUP(E65,DISTANCE!$1:$1048576,6,0)</f>
        <v>2.1800000000000002</v>
      </c>
      <c r="I65" s="7" t="str">
        <f t="shared" ref="I65" si="10">IF(F65&lt;70,"DRIVER FAULT","")</f>
        <v/>
      </c>
    </row>
    <row r="66" spans="1:9" x14ac:dyDescent="0.25">
      <c r="A66" t="s">
        <v>529</v>
      </c>
      <c r="C66" s="6">
        <v>62</v>
      </c>
      <c r="D66" s="7" t="s">
        <v>445</v>
      </c>
      <c r="E66" s="6" t="str">
        <f>VLOOKUP(A66,COV!$1:$1048576,2,0)</f>
        <v>RJ14GT7549</v>
      </c>
      <c r="F66" s="6">
        <f>VLOOKUP(A66,COV!$1:$1048576,3,0)</f>
        <v>96</v>
      </c>
      <c r="G66" s="6">
        <f>VLOOKUP(E66,DISTANCE!$1:$1048576,5,0)</f>
        <v>51.16</v>
      </c>
      <c r="H66" s="6">
        <f>VLOOKUP(E66,DISTANCE!$1:$1048576,6,0)</f>
        <v>4.88</v>
      </c>
      <c r="I66" s="7" t="str">
        <f t="shared" si="2"/>
        <v/>
      </c>
    </row>
    <row r="67" spans="1:9" x14ac:dyDescent="0.25">
      <c r="A67" t="s">
        <v>530</v>
      </c>
      <c r="C67" s="6">
        <v>63</v>
      </c>
      <c r="D67" s="7" t="s">
        <v>445</v>
      </c>
      <c r="E67" s="6" t="str">
        <f>VLOOKUP(A67,COV!$1:$1048576,2,0)</f>
        <v>SVD11111</v>
      </c>
      <c r="F67" s="6">
        <f>VLOOKUP(A67,COV!$1:$1048576,3,0)</f>
        <v>95</v>
      </c>
      <c r="G67" s="6">
        <f>VLOOKUP(E67,DISTANCE!$1:$1048576,5,0)</f>
        <v>39.450000000000003</v>
      </c>
      <c r="H67" s="6">
        <f>VLOOKUP(E67,DISTANCE!$1:$1048576,6,0)</f>
        <v>4.83</v>
      </c>
      <c r="I67" s="7" t="str">
        <f t="shared" ref="I67" si="11">IF(F67&lt;70,"DRIVER FAULT","")</f>
        <v/>
      </c>
    </row>
    <row r="68" spans="1:9" x14ac:dyDescent="0.25">
      <c r="A68" t="s">
        <v>531</v>
      </c>
      <c r="C68" s="6">
        <v>64</v>
      </c>
      <c r="D68" s="7" t="s">
        <v>445</v>
      </c>
      <c r="E68" s="6" t="str">
        <f>VLOOKUP(A68,COV!$1:$1048576,2,0)</f>
        <v>RJ14GT8261</v>
      </c>
      <c r="F68" s="6">
        <f>VLOOKUP(A68,COV!$1:$1048576,3,0)</f>
        <v>91</v>
      </c>
      <c r="G68" s="6">
        <f>VLOOKUP(E68,DISTANCE!$1:$1048576,5,0)</f>
        <v>33.700000000000003</v>
      </c>
      <c r="H68" s="6">
        <f>VLOOKUP(E68,DISTANCE!$1:$1048576,6,0)</f>
        <v>3.57</v>
      </c>
      <c r="I68" s="7" t="str">
        <f t="shared" ref="I68:I75" si="12">IF(F68&lt;70,"DRIVER FAULT","")</f>
        <v/>
      </c>
    </row>
    <row r="69" spans="1:9" x14ac:dyDescent="0.25">
      <c r="A69" t="s">
        <v>532</v>
      </c>
      <c r="C69" s="6">
        <v>65</v>
      </c>
      <c r="D69" s="7" t="s">
        <v>445</v>
      </c>
      <c r="E69" s="6" t="str">
        <f>VLOOKUP(A69,COV!$1:$1048576,2,0)</f>
        <v>RJ14GT8295</v>
      </c>
      <c r="F69" s="6">
        <f>VLOOKUP(A69,COV!$1:$1048576,3,0)</f>
        <v>98</v>
      </c>
      <c r="G69" s="6">
        <f>VLOOKUP(E69,DISTANCE!$1:$1048576,5,0)</f>
        <v>32.75</v>
      </c>
      <c r="H69" s="6">
        <f>VLOOKUP(E69,DISTANCE!$1:$1048576,6,0)</f>
        <v>3.84</v>
      </c>
      <c r="I69" s="7" t="str">
        <f t="shared" si="12"/>
        <v/>
      </c>
    </row>
    <row r="70" spans="1:9" x14ac:dyDescent="0.25">
      <c r="A70" t="s">
        <v>533</v>
      </c>
      <c r="C70" s="6">
        <v>66</v>
      </c>
      <c r="D70" s="7" t="s">
        <v>446</v>
      </c>
      <c r="E70" s="6" t="str">
        <f>VLOOKUP(A70,COV!$1:$1048576,2,0)</f>
        <v>SVC08939</v>
      </c>
      <c r="F70" s="6">
        <f>VLOOKUP(A70,COV!$1:$1048576,3,0)</f>
        <v>92</v>
      </c>
      <c r="G70" s="6">
        <f>VLOOKUP(E70,DISTANCE!$1:$1048576,5,0)</f>
        <v>37.76</v>
      </c>
      <c r="H70" s="6">
        <f>VLOOKUP(E70,DISTANCE!$1:$1048576,6,0)</f>
        <v>5.86</v>
      </c>
      <c r="I70" s="7" t="str">
        <f t="shared" si="12"/>
        <v/>
      </c>
    </row>
    <row r="71" spans="1:9" x14ac:dyDescent="0.25">
      <c r="A71" t="s">
        <v>534</v>
      </c>
      <c r="C71" s="6">
        <v>67</v>
      </c>
      <c r="D71" s="7" t="s">
        <v>446</v>
      </c>
      <c r="E71" s="6" t="str">
        <f>VLOOKUP(A71,COV!$1:$1048576,2,0)</f>
        <v>RJ14GT8305</v>
      </c>
      <c r="F71" s="6">
        <f>VLOOKUP(A71,COV!$1:$1048576,3,0)</f>
        <v>96</v>
      </c>
      <c r="G71" s="6">
        <f>VLOOKUP(E71,DISTANCE!$1:$1048576,5,0)</f>
        <v>40.1</v>
      </c>
      <c r="H71" s="6">
        <f>VLOOKUP(E71,DISTANCE!$1:$1048576,6,0)</f>
        <v>4.1500000000000004</v>
      </c>
      <c r="I71" s="7" t="str">
        <f t="shared" si="12"/>
        <v/>
      </c>
    </row>
    <row r="72" spans="1:9" x14ac:dyDescent="0.25">
      <c r="A72" t="s">
        <v>535</v>
      </c>
      <c r="C72" s="6">
        <v>68</v>
      </c>
      <c r="D72" s="7" t="s">
        <v>446</v>
      </c>
      <c r="E72" s="6" t="str">
        <f>VLOOKUP(A72,COV!$1:$1048576,2,0)</f>
        <v>RJ14GT8304</v>
      </c>
      <c r="F72" s="6">
        <f>VLOOKUP(A72,COV!$1:$1048576,3,0)</f>
        <v>88</v>
      </c>
      <c r="G72" s="6">
        <f>VLOOKUP(E72,DISTANCE!$1:$1048576,5,0)</f>
        <v>26.96</v>
      </c>
      <c r="H72" s="6">
        <f>VLOOKUP(E72,DISTANCE!$1:$1048576,6,0)</f>
        <v>3.94</v>
      </c>
      <c r="I72" s="7" t="str">
        <f t="shared" si="12"/>
        <v/>
      </c>
    </row>
    <row r="73" spans="1:9" x14ac:dyDescent="0.25">
      <c r="A73" t="s">
        <v>225</v>
      </c>
      <c r="C73" s="6">
        <v>69</v>
      </c>
      <c r="D73" s="7" t="s">
        <v>447</v>
      </c>
      <c r="E73" s="6" t="str">
        <f>VLOOKUP(A73,COV!$1:$1048576,2,0)</f>
        <v>SVE14888</v>
      </c>
      <c r="F73" s="6">
        <f>VLOOKUP(A73,COV!$1:$1048576,3,0)</f>
        <v>95</v>
      </c>
      <c r="G73" s="6">
        <f>VLOOKUP(E73,DISTANCE!$1:$1048576,5,0)</f>
        <v>43.72</v>
      </c>
      <c r="H73" s="6">
        <f>VLOOKUP(E73,DISTANCE!$1:$1048576,6,0)</f>
        <v>5.51</v>
      </c>
      <c r="I73" s="7" t="str">
        <f t="shared" si="12"/>
        <v/>
      </c>
    </row>
    <row r="74" spans="1:9" x14ac:dyDescent="0.25">
      <c r="A74" t="s">
        <v>536</v>
      </c>
      <c r="C74" s="6">
        <v>70</v>
      </c>
      <c r="D74" s="7" t="s">
        <v>447</v>
      </c>
      <c r="E74" s="6" t="str">
        <f>VLOOKUP(A74,COV!$1:$1048576,2,0)</f>
        <v>RJ14GT8836</v>
      </c>
      <c r="F74" s="6">
        <f>VLOOKUP(A74,COV!$1:$1048576,3,0)</f>
        <v>100</v>
      </c>
      <c r="G74" s="6">
        <f>VLOOKUP(E74,DISTANCE!$1:$1048576,5,0)</f>
        <v>29.14</v>
      </c>
      <c r="H74" s="6">
        <f>VLOOKUP(E74,DISTANCE!$1:$1048576,6,0)</f>
        <v>3.72</v>
      </c>
      <c r="I74" s="7" t="str">
        <f t="shared" si="12"/>
        <v/>
      </c>
    </row>
    <row r="75" spans="1:9" x14ac:dyDescent="0.25">
      <c r="A75" t="s">
        <v>538</v>
      </c>
      <c r="C75" s="6">
        <v>71</v>
      </c>
      <c r="D75" s="7" t="s">
        <v>447</v>
      </c>
      <c r="E75" s="6" t="str">
        <f>VLOOKUP(A75,COV!$1:$1048576,2,0)</f>
        <v>RJ14GT8832</v>
      </c>
      <c r="F75" s="6">
        <f>VLOOKUP(A75,COV!$1:$1048576,3,0)</f>
        <v>91</v>
      </c>
      <c r="G75" s="6">
        <f>VLOOKUP(E75,DISTANCE!$1:$1048576,5,0)</f>
        <v>43.08</v>
      </c>
      <c r="H75" s="6">
        <f>VLOOKUP(E75,DISTANCE!$1:$1048576,6,0)</f>
        <v>4.33</v>
      </c>
      <c r="I75" s="7" t="str">
        <f t="shared" si="12"/>
        <v/>
      </c>
    </row>
    <row r="76" spans="1:9" x14ac:dyDescent="0.25">
      <c r="C76" s="48" t="s">
        <v>144</v>
      </c>
      <c r="D76" s="48"/>
      <c r="E76" s="48"/>
      <c r="F76" s="15">
        <f>AVERAGE(F5:F75)</f>
        <v>91.628571428571433</v>
      </c>
      <c r="G76" s="15">
        <f t="shared" ref="G76:H76" si="13">AVERAGE(G5:G75)</f>
        <v>38.026999999999994</v>
      </c>
      <c r="H76" s="15">
        <f t="shared" si="13"/>
        <v>4.6654285714285706</v>
      </c>
      <c r="I76" s="4"/>
    </row>
  </sheetData>
  <mergeCells count="5">
    <mergeCell ref="C76:E76"/>
    <mergeCell ref="C1:I1"/>
    <mergeCell ref="C2:I2"/>
    <mergeCell ref="C3:I3"/>
    <mergeCell ref="F48:I48"/>
  </mergeCells>
  <pageMargins left="0.7" right="0.7" top="0.75" bottom="0.75" header="0.3" footer="0.3"/>
  <pageSetup scale="7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7EDA-2EFB-46AC-9A58-B872572F3208}">
  <dimension ref="A1:I86"/>
  <sheetViews>
    <sheetView topLeftCell="B15" workbookViewId="0">
      <selection activeCell="F39" sqref="C1:I86"/>
    </sheetView>
  </sheetViews>
  <sheetFormatPr defaultRowHeight="15" x14ac:dyDescent="0.25"/>
  <cols>
    <col min="1" max="1" width="24.85546875" style="10" hidden="1" customWidth="1"/>
    <col min="2" max="2" width="11.85546875" style="10" customWidth="1"/>
    <col min="3" max="3" width="8.42578125" style="10" customWidth="1"/>
    <col min="4" max="4" width="22.140625" style="10" bestFit="1" customWidth="1"/>
    <col min="5" max="5" width="18.140625" style="10" customWidth="1"/>
    <col min="6" max="6" width="17" style="10" bestFit="1" customWidth="1"/>
    <col min="7" max="7" width="19.7109375" style="10" customWidth="1"/>
    <col min="8" max="8" width="21.5703125" style="10" bestFit="1" customWidth="1"/>
    <col min="9" max="9" width="17.42578125" style="10" customWidth="1"/>
    <col min="10" max="16384" width="9.140625" style="10"/>
  </cols>
  <sheetData>
    <row r="1" spans="1:9" s="8" customFormat="1" x14ac:dyDescent="0.25">
      <c r="C1" s="48" t="s">
        <v>361</v>
      </c>
      <c r="D1" s="48"/>
      <c r="E1" s="48"/>
      <c r="F1" s="48"/>
      <c r="G1" s="48"/>
      <c r="H1" s="48"/>
      <c r="I1" s="48"/>
    </row>
    <row r="2" spans="1:9" s="8" customFormat="1" x14ac:dyDescent="0.25">
      <c r="C2" s="48" t="s">
        <v>362</v>
      </c>
      <c r="D2" s="48"/>
      <c r="E2" s="48"/>
      <c r="F2" s="48"/>
      <c r="G2" s="48"/>
      <c r="H2" s="48"/>
      <c r="I2" s="48"/>
    </row>
    <row r="3" spans="1:9" s="8" customFormat="1" x14ac:dyDescent="0.25">
      <c r="C3" s="49">
        <f ca="1">TODAY()</f>
        <v>46178</v>
      </c>
      <c r="D3" s="49"/>
      <c r="E3" s="49"/>
      <c r="F3" s="49"/>
      <c r="G3" s="49"/>
      <c r="H3" s="49"/>
      <c r="I3" s="49"/>
    </row>
    <row r="4" spans="1:9" s="8" customFormat="1" x14ac:dyDescent="0.25">
      <c r="C4" s="3" t="s">
        <v>142</v>
      </c>
      <c r="D4" s="3" t="s">
        <v>0</v>
      </c>
      <c r="E4" s="3" t="s">
        <v>139</v>
      </c>
      <c r="F4" s="3" t="s">
        <v>138</v>
      </c>
      <c r="G4" s="3" t="s">
        <v>313</v>
      </c>
      <c r="H4" s="3" t="s">
        <v>5</v>
      </c>
      <c r="I4" s="3" t="s">
        <v>143</v>
      </c>
    </row>
    <row r="5" spans="1:9" x14ac:dyDescent="0.25">
      <c r="A5" t="s">
        <v>203</v>
      </c>
      <c r="C5" s="6">
        <v>1</v>
      </c>
      <c r="D5" s="7" t="s">
        <v>424</v>
      </c>
      <c r="E5" s="6" t="str">
        <f>VLOOKUP(A5,COV!$1:$1048576,2,0)</f>
        <v>RJ14GN5224</v>
      </c>
      <c r="F5" s="50" t="s">
        <v>1252</v>
      </c>
      <c r="G5" s="51"/>
      <c r="H5" s="51"/>
      <c r="I5" s="52"/>
    </row>
    <row r="6" spans="1:9" x14ac:dyDescent="0.25">
      <c r="A6" t="s">
        <v>305</v>
      </c>
      <c r="C6" s="6">
        <v>2</v>
      </c>
      <c r="D6" s="7" t="s">
        <v>424</v>
      </c>
      <c r="E6" s="6" t="str">
        <f>VLOOKUP(A6,COV!$1:$1048576,2,0)</f>
        <v>RJ14GN7680</v>
      </c>
      <c r="F6" s="6">
        <f>VLOOKUP(A6,COV!$1:$1048576,3,0)</f>
        <v>91</v>
      </c>
      <c r="G6" s="6">
        <f>VLOOKUP(E6,DISTANCE!$1:$1048576,5,0)</f>
        <v>59.13</v>
      </c>
      <c r="H6" s="6">
        <f>VLOOKUP(E6,DISTANCE!$1:$1048576,6,0)</f>
        <v>3.77</v>
      </c>
      <c r="I6" s="7" t="str">
        <f t="shared" ref="I6" si="0">IF(F6&lt;70,"DRIVER FAULT","")</f>
        <v/>
      </c>
    </row>
    <row r="7" spans="1:9" x14ac:dyDescent="0.25">
      <c r="A7" t="s">
        <v>211</v>
      </c>
      <c r="C7" s="6">
        <v>3</v>
      </c>
      <c r="D7" s="7" t="s">
        <v>423</v>
      </c>
      <c r="E7" s="6" t="str">
        <f>VLOOKUP(A7,COV!$1:$1048576,2,0)</f>
        <v>RJ14GN7687</v>
      </c>
      <c r="F7" s="6">
        <f>VLOOKUP(A7,COV!$1:$1048576,3,0)</f>
        <v>95</v>
      </c>
      <c r="G7" s="6">
        <f>VLOOKUP(E7,DISTANCE!$1:$1048576,5,0)</f>
        <v>32.630000000000003</v>
      </c>
      <c r="H7" s="6">
        <f>VLOOKUP(E7,DISTANCE!$1:$1048576,6,0)</f>
        <v>3.44</v>
      </c>
      <c r="I7" s="7" t="str">
        <f t="shared" ref="I7:I69" si="1">IF(F7&lt;70,"DRIVER FAULT","")</f>
        <v/>
      </c>
    </row>
    <row r="8" spans="1:9" x14ac:dyDescent="0.25">
      <c r="A8" t="s">
        <v>215</v>
      </c>
      <c r="C8" s="6">
        <v>4</v>
      </c>
      <c r="D8" s="7" t="s">
        <v>423</v>
      </c>
      <c r="E8" s="6" t="str">
        <f>VLOOKUP(A8,COV!$1:$1048576,2,0)</f>
        <v>RJ14GN7807</v>
      </c>
      <c r="F8" s="6">
        <f>VLOOKUP(A8,COV!$1:$1048576,3,0)</f>
        <v>93</v>
      </c>
      <c r="G8" s="6">
        <f>VLOOKUP(E8,DISTANCE!$1:$1048576,5,0)</f>
        <v>53.53</v>
      </c>
      <c r="H8" s="6">
        <f>VLOOKUP(E8,DISTANCE!$1:$1048576,6,0)</f>
        <v>7.39</v>
      </c>
      <c r="I8" s="7" t="str">
        <f t="shared" si="1"/>
        <v/>
      </c>
    </row>
    <row r="9" spans="1:9" x14ac:dyDescent="0.25">
      <c r="A9" t="s">
        <v>300</v>
      </c>
      <c r="C9" s="6">
        <v>5</v>
      </c>
      <c r="D9" s="7" t="s">
        <v>423</v>
      </c>
      <c r="E9" s="6" t="str">
        <f>VLOOKUP(A9,COV!$1:$1048576,2,0)</f>
        <v>RJ14GQ5280</v>
      </c>
      <c r="F9" s="6">
        <f>VLOOKUP(A9,COV!$1:$1048576,3,0)</f>
        <v>90</v>
      </c>
      <c r="G9" s="6">
        <f>VLOOKUP(E9,DISTANCE!$1:$1048576,5,0)</f>
        <v>82.27</v>
      </c>
      <c r="H9" s="6">
        <f>VLOOKUP(E9,DISTANCE!$1:$1048576,6,0)</f>
        <v>11.27</v>
      </c>
      <c r="I9" s="7" t="str">
        <f t="shared" si="1"/>
        <v/>
      </c>
    </row>
    <row r="10" spans="1:9" x14ac:dyDescent="0.25">
      <c r="A10" t="s">
        <v>212</v>
      </c>
      <c r="C10" s="6">
        <v>6</v>
      </c>
      <c r="D10" s="7" t="s">
        <v>422</v>
      </c>
      <c r="E10" s="6" t="str">
        <f>VLOOKUP(A10,COV!$1:$1048576,2,0)</f>
        <v>RJ14GN4991</v>
      </c>
      <c r="F10" s="6">
        <f>VLOOKUP(A10,COV!$1:$1048576,3,0)</f>
        <v>75</v>
      </c>
      <c r="G10" s="6">
        <f>VLOOKUP(E10,DISTANCE!$1:$1048576,5,0)</f>
        <v>28.32</v>
      </c>
      <c r="H10" s="6">
        <f>VLOOKUP(E10,DISTANCE!$1:$1048576,6,0)</f>
        <v>6.9</v>
      </c>
      <c r="I10" s="7" t="str">
        <f t="shared" si="1"/>
        <v/>
      </c>
    </row>
    <row r="11" spans="1:9" x14ac:dyDescent="0.25">
      <c r="A11" t="s">
        <v>214</v>
      </c>
      <c r="C11" s="6">
        <v>7</v>
      </c>
      <c r="D11" s="7" t="s">
        <v>422</v>
      </c>
      <c r="E11" s="6" t="str">
        <f>VLOOKUP(A11,COV!$1:$1048576,2,0)</f>
        <v>RJ14GQ5291</v>
      </c>
      <c r="F11" s="6">
        <f>VLOOKUP(A11,COV!$1:$1048576,3,0)</f>
        <v>100</v>
      </c>
      <c r="G11" s="6">
        <f>VLOOKUP(E11,DISTANCE!$1:$1048576,5,0)</f>
        <v>35.67</v>
      </c>
      <c r="H11" s="6">
        <f>VLOOKUP(E11,DISTANCE!$1:$1048576,6,0)</f>
        <v>2.2599999999999998</v>
      </c>
      <c r="I11" s="7" t="str">
        <f t="shared" ref="I11" si="2">IF(F11&lt;70,"DRIVER FAULT","")</f>
        <v/>
      </c>
    </row>
    <row r="12" spans="1:9" x14ac:dyDescent="0.25">
      <c r="A12" t="s">
        <v>222</v>
      </c>
      <c r="C12" s="6">
        <v>8</v>
      </c>
      <c r="D12" s="7" t="s">
        <v>422</v>
      </c>
      <c r="E12" s="6" t="str">
        <f>VLOOKUP(A12,COV!$1:$1048576,2,0)</f>
        <v>RJ14GN5034</v>
      </c>
      <c r="F12" s="6">
        <f>VLOOKUP(A12,COV!$1:$1048576,3,0)</f>
        <v>85</v>
      </c>
      <c r="G12" s="6">
        <f>VLOOKUP(E12,DISTANCE!$1:$1048576,5,0)</f>
        <v>33.42</v>
      </c>
      <c r="H12" s="6">
        <f>VLOOKUP(E12,DISTANCE!$1:$1048576,6,0)</f>
        <v>9.91</v>
      </c>
      <c r="I12" s="7" t="str">
        <f t="shared" ref="I12:I38" si="3">IF(F12&lt;70,"DRIVER FAULT","")</f>
        <v/>
      </c>
    </row>
    <row r="13" spans="1:9" x14ac:dyDescent="0.25">
      <c r="A13" t="s">
        <v>251</v>
      </c>
      <c r="C13" s="6">
        <v>9</v>
      </c>
      <c r="D13" s="7" t="s">
        <v>422</v>
      </c>
      <c r="E13" s="6" t="str">
        <f>VLOOKUP(A13,COV!$1:$1048576,2,0)</f>
        <v>RJI4GN8483</v>
      </c>
      <c r="F13" s="6">
        <f>VLOOKUP(A13,COV!$1:$1048576,3,0)</f>
        <v>89</v>
      </c>
      <c r="G13" s="6">
        <f>VLOOKUP(E13,DISTANCE!$1:$1048576,5,0)</f>
        <v>55.87</v>
      </c>
      <c r="H13" s="6">
        <f>VLOOKUP(E13,DISTANCE!$1:$1048576,6,0)</f>
        <v>8.9700000000000006</v>
      </c>
      <c r="I13" s="7" t="str">
        <f t="shared" si="3"/>
        <v/>
      </c>
    </row>
    <row r="14" spans="1:9" x14ac:dyDescent="0.25">
      <c r="A14" t="s">
        <v>133</v>
      </c>
      <c r="C14" s="6">
        <v>10</v>
      </c>
      <c r="D14" s="7" t="s">
        <v>421</v>
      </c>
      <c r="E14" s="6" t="str">
        <f>VLOOKUP(A14,COV!$1:$1048576,2,0)</f>
        <v>RJ14GQ5288</v>
      </c>
      <c r="F14" s="6">
        <f>VLOOKUP(A14,COV!$1:$1048576,3,0)</f>
        <v>92</v>
      </c>
      <c r="G14" s="6">
        <f>VLOOKUP(E14,DISTANCE!$1:$1048576,5,0)</f>
        <v>54.67</v>
      </c>
      <c r="H14" s="6">
        <f>VLOOKUP(E14,DISTANCE!$1:$1048576,6,0)</f>
        <v>6.64</v>
      </c>
      <c r="I14" s="7" t="str">
        <f t="shared" si="3"/>
        <v/>
      </c>
    </row>
    <row r="15" spans="1:9" x14ac:dyDescent="0.25">
      <c r="A15" t="s">
        <v>290</v>
      </c>
      <c r="C15" s="6">
        <v>11</v>
      </c>
      <c r="D15" s="7" t="s">
        <v>421</v>
      </c>
      <c r="E15" s="6" t="str">
        <f>VLOOKUP(A15,COV!$1:$1048576,2,0)</f>
        <v>RJ14GN7804</v>
      </c>
      <c r="F15" s="50" t="s">
        <v>1260</v>
      </c>
      <c r="G15" s="51"/>
      <c r="H15" s="51"/>
      <c r="I15" s="52"/>
    </row>
    <row r="16" spans="1:9" x14ac:dyDescent="0.25">
      <c r="A16" t="s">
        <v>301</v>
      </c>
      <c r="C16" s="6">
        <v>12</v>
      </c>
      <c r="D16" s="7" t="s">
        <v>421</v>
      </c>
      <c r="E16" s="6" t="str">
        <f>VLOOKUP(A16,COV!$1:$1048576,2,0)</f>
        <v>RJ14GN7689</v>
      </c>
      <c r="F16" s="6">
        <f>VLOOKUP(A16,COV!$1:$1048576,3,0)</f>
        <v>96</v>
      </c>
      <c r="G16" s="6">
        <f>VLOOKUP(E16,DISTANCE!$1:$1048576,5,0)</f>
        <v>29.16</v>
      </c>
      <c r="H16" s="6">
        <f>VLOOKUP(E16,DISTANCE!$1:$1048576,6,0)</f>
        <v>8.33</v>
      </c>
      <c r="I16" s="7" t="str">
        <f t="shared" si="3"/>
        <v/>
      </c>
    </row>
    <row r="17" spans="1:9" x14ac:dyDescent="0.25">
      <c r="A17" t="s">
        <v>219</v>
      </c>
      <c r="C17" s="6">
        <v>13</v>
      </c>
      <c r="D17" s="7" t="s">
        <v>420</v>
      </c>
      <c r="E17" s="6" t="str">
        <f>VLOOKUP(A17,COV!$1:$1048576,2,0)</f>
        <v>RJ14GN5753QT</v>
      </c>
      <c r="F17" s="6">
        <f>VLOOKUP(A17,COV!$1:$1048576,3,0)</f>
        <v>61</v>
      </c>
      <c r="G17" s="6">
        <f>VLOOKUP(E17,DISTANCE!$1:$1048576,5,0)</f>
        <v>22.75</v>
      </c>
      <c r="H17" s="6">
        <f>VLOOKUP(E17,DISTANCE!$1:$1048576,6,0)</f>
        <v>1.49</v>
      </c>
      <c r="I17" s="7" t="str">
        <f t="shared" si="3"/>
        <v>DRIVER FAULT</v>
      </c>
    </row>
    <row r="18" spans="1:9" x14ac:dyDescent="0.25">
      <c r="A18" t="s">
        <v>230</v>
      </c>
      <c r="C18" s="6">
        <v>14</v>
      </c>
      <c r="D18" s="7" t="s">
        <v>419</v>
      </c>
      <c r="E18" s="6" t="str">
        <f>VLOOKUP(A18,COV!$1:$1048576,2,0)</f>
        <v>RJ14GN7681</v>
      </c>
      <c r="F18" s="6">
        <f>VLOOKUP(A18,COV!$1:$1048576,3,0)</f>
        <v>93</v>
      </c>
      <c r="G18" s="6">
        <f>VLOOKUP(E18,DISTANCE!$1:$1048576,5,0)</f>
        <v>36.75</v>
      </c>
      <c r="H18" s="6">
        <f>VLOOKUP(E18,DISTANCE!$1:$1048576,6,0)</f>
        <v>5.25</v>
      </c>
      <c r="I18" s="7" t="str">
        <f t="shared" si="3"/>
        <v/>
      </c>
    </row>
    <row r="19" spans="1:9" x14ac:dyDescent="0.25">
      <c r="A19" t="s">
        <v>252</v>
      </c>
      <c r="C19" s="6">
        <v>15</v>
      </c>
      <c r="D19" s="7" t="s">
        <v>419</v>
      </c>
      <c r="E19" s="6" t="str">
        <f>VLOOKUP(A19,COV!$1:$1048576,2,0)</f>
        <v>RJ14GN7800</v>
      </c>
      <c r="F19" s="6">
        <f>VLOOKUP(A19,COV!$1:$1048576,3,0)</f>
        <v>78</v>
      </c>
      <c r="G19" s="6">
        <f>VLOOKUP(E19,DISTANCE!$1:$1048576,5,0)</f>
        <v>35.03</v>
      </c>
      <c r="H19" s="6">
        <f>VLOOKUP(E19,DISTANCE!$1:$1048576,6,0)</f>
        <v>4.03</v>
      </c>
      <c r="I19" s="7" t="str">
        <f t="shared" si="3"/>
        <v/>
      </c>
    </row>
    <row r="20" spans="1:9" x14ac:dyDescent="0.25">
      <c r="A20" t="s">
        <v>270</v>
      </c>
      <c r="C20" s="6">
        <v>16</v>
      </c>
      <c r="D20" s="7" t="s">
        <v>418</v>
      </c>
      <c r="E20" s="6" t="str">
        <f>VLOOKUP(A20,COV!$1:$1048576,2,0)</f>
        <v>RJ14GN7662</v>
      </c>
      <c r="F20" s="6">
        <f>VLOOKUP(A20,COV!$1:$1048576,3,0)</f>
        <v>93</v>
      </c>
      <c r="G20" s="6">
        <f>VLOOKUP(E20,DISTANCE!$1:$1048576,5,0)</f>
        <v>22.58</v>
      </c>
      <c r="H20" s="6">
        <f>VLOOKUP(E20,DISTANCE!$1:$1048576,6,0)</f>
        <v>4.04</v>
      </c>
      <c r="I20" s="7" t="str">
        <f t="shared" si="3"/>
        <v/>
      </c>
    </row>
    <row r="21" spans="1:9" x14ac:dyDescent="0.25">
      <c r="A21" t="s">
        <v>310</v>
      </c>
      <c r="C21" s="6">
        <v>17</v>
      </c>
      <c r="D21" s="7" t="s">
        <v>418</v>
      </c>
      <c r="E21" s="6" t="str">
        <f>VLOOKUP(A21,COV!$1:$1048576,2,0)</f>
        <v>RJ14GN7670</v>
      </c>
      <c r="F21" s="6">
        <f>VLOOKUP(A21,COV!$1:$1048576,3,0)</f>
        <v>100</v>
      </c>
      <c r="G21" s="6">
        <f>VLOOKUP(E21,DISTANCE!$1:$1048576,5,0)</f>
        <v>64.52</v>
      </c>
      <c r="H21" s="6">
        <f>VLOOKUP(E21,DISTANCE!$1:$1048576,6,0)</f>
        <v>7.34</v>
      </c>
      <c r="I21" s="7" t="str">
        <f t="shared" si="3"/>
        <v/>
      </c>
    </row>
    <row r="22" spans="1:9" x14ac:dyDescent="0.25">
      <c r="A22" t="s">
        <v>218</v>
      </c>
      <c r="C22" s="6">
        <v>18</v>
      </c>
      <c r="D22" s="7" t="s">
        <v>417</v>
      </c>
      <c r="E22" s="6" t="str">
        <f>VLOOKUP(A22,COV!$1:$1048576,2,0)</f>
        <v>RJ14GN7678</v>
      </c>
      <c r="F22" s="6">
        <f>VLOOKUP(A22,COV!$1:$1048576,3,0)</f>
        <v>91</v>
      </c>
      <c r="G22" s="6">
        <f>VLOOKUP(E22,DISTANCE!$1:$1048576,5,0)</f>
        <v>39.18</v>
      </c>
      <c r="H22" s="6">
        <f>VLOOKUP(E22,DISTANCE!$1:$1048576,6,0)</f>
        <v>6.61</v>
      </c>
      <c r="I22" s="7" t="str">
        <f t="shared" si="3"/>
        <v/>
      </c>
    </row>
    <row r="23" spans="1:9" x14ac:dyDescent="0.25">
      <c r="A23" t="s">
        <v>233</v>
      </c>
      <c r="C23" s="6">
        <v>19</v>
      </c>
      <c r="D23" s="7" t="s">
        <v>417</v>
      </c>
      <c r="E23" s="6" t="str">
        <f>VLOOKUP(A23,COV!$1:$1048576,2,0)</f>
        <v>RJ14GN7815</v>
      </c>
      <c r="F23" s="6">
        <f>VLOOKUP(A23,COV!$1:$1048576,3,0)</f>
        <v>86</v>
      </c>
      <c r="G23" s="6">
        <f>VLOOKUP(E23,DISTANCE!$1:$1048576,5,0)</f>
        <v>33.71</v>
      </c>
      <c r="H23" s="6">
        <f>VLOOKUP(E23,DISTANCE!$1:$1048576,6,0)</f>
        <v>6.35</v>
      </c>
      <c r="I23" s="7" t="str">
        <f t="shared" si="3"/>
        <v/>
      </c>
    </row>
    <row r="24" spans="1:9" x14ac:dyDescent="0.25">
      <c r="A24" t="s">
        <v>258</v>
      </c>
      <c r="C24" s="6">
        <v>20</v>
      </c>
      <c r="D24" s="7" t="s">
        <v>416</v>
      </c>
      <c r="E24" s="6" t="str">
        <f>VLOOKUP(A24,COV!$1:$1048576,2,0)</f>
        <v>RJ14GN7696</v>
      </c>
      <c r="F24" s="6">
        <f>VLOOKUP(A24,COV!$1:$1048576,3,0)</f>
        <v>84</v>
      </c>
      <c r="G24" s="6">
        <f>VLOOKUP(E24,DISTANCE!$1:$1048576,5,0)</f>
        <v>34</v>
      </c>
      <c r="H24" s="6">
        <f>VLOOKUP(E24,DISTANCE!$1:$1048576,6,0)</f>
        <v>5.05</v>
      </c>
      <c r="I24" s="7" t="str">
        <f t="shared" si="3"/>
        <v/>
      </c>
    </row>
    <row r="25" spans="1:9" x14ac:dyDescent="0.25">
      <c r="A25" t="s">
        <v>209</v>
      </c>
      <c r="C25" s="6">
        <v>21</v>
      </c>
      <c r="D25" s="7" t="s">
        <v>416</v>
      </c>
      <c r="E25" s="6" t="str">
        <f>VLOOKUP(A25,COV!$1:$1048576,2,0)</f>
        <v>RJ14GN7684</v>
      </c>
      <c r="F25" s="6">
        <f>VLOOKUP(A25,COV!$1:$1048576,3,0)</f>
        <v>93</v>
      </c>
      <c r="G25" s="6">
        <f>VLOOKUP(E25,DISTANCE!$1:$1048576,5,0)</f>
        <v>35.950000000000003</v>
      </c>
      <c r="H25" s="6">
        <f>VLOOKUP(E25,DISTANCE!$1:$1048576,6,0)</f>
        <v>5.6</v>
      </c>
      <c r="I25" s="7" t="str">
        <f t="shared" si="3"/>
        <v/>
      </c>
    </row>
    <row r="26" spans="1:9" x14ac:dyDescent="0.25">
      <c r="A26" t="s">
        <v>201</v>
      </c>
      <c r="C26" s="6">
        <v>22</v>
      </c>
      <c r="D26" s="7" t="s">
        <v>415</v>
      </c>
      <c r="E26" s="6" t="str">
        <f>VLOOKUP(A26,COV!$1:$1048576,2,0)</f>
        <v>RJ14GN8107</v>
      </c>
      <c r="F26" s="6">
        <f>VLOOKUP(A26,COV!$1:$1048576,3,0)</f>
        <v>88</v>
      </c>
      <c r="G26" s="6">
        <f>VLOOKUP(E26,DISTANCE!$1:$1048576,5,0)</f>
        <v>25.72</v>
      </c>
      <c r="H26" s="6">
        <f>VLOOKUP(E26,DISTANCE!$1:$1048576,6,0)</f>
        <v>6.07</v>
      </c>
      <c r="I26" s="7" t="str">
        <f t="shared" si="3"/>
        <v/>
      </c>
    </row>
    <row r="27" spans="1:9" x14ac:dyDescent="0.25">
      <c r="A27" t="s">
        <v>273</v>
      </c>
      <c r="C27" s="6">
        <v>23</v>
      </c>
      <c r="D27" s="7" t="s">
        <v>415</v>
      </c>
      <c r="E27" s="6" t="str">
        <f>VLOOKUP(A27,COV!$1:$1048576,2,0)</f>
        <v>RJ14GN7686</v>
      </c>
      <c r="F27" s="6">
        <f>VLOOKUP(A27,COV!$1:$1048576,3,0)</f>
        <v>85</v>
      </c>
      <c r="G27" s="6">
        <f>VLOOKUP(E27,DISTANCE!$1:$1048576,5,0)</f>
        <v>43.69</v>
      </c>
      <c r="H27" s="6">
        <f>VLOOKUP(E27,DISTANCE!$1:$1048576,6,0)</f>
        <v>6.29</v>
      </c>
      <c r="I27" s="7" t="str">
        <f t="shared" si="3"/>
        <v/>
      </c>
    </row>
    <row r="28" spans="1:9" x14ac:dyDescent="0.25">
      <c r="A28" t="s">
        <v>297</v>
      </c>
      <c r="C28" s="6">
        <v>24</v>
      </c>
      <c r="D28" s="7" t="s">
        <v>414</v>
      </c>
      <c r="E28" s="6" t="str">
        <f>VLOOKUP(A28,COV!$1:$1048576,2,0)</f>
        <v>RJ14GQ5296</v>
      </c>
      <c r="F28" s="6">
        <f>VLOOKUP(A28,COV!$1:$1048576,3,0)</f>
        <v>100</v>
      </c>
      <c r="G28" s="6">
        <f>VLOOKUP(E28,DISTANCE!$1:$1048576,5,0)</f>
        <v>28.6</v>
      </c>
      <c r="H28" s="6">
        <f>VLOOKUP(E28,DISTANCE!$1:$1048576,6,0)</f>
        <v>7.19</v>
      </c>
      <c r="I28" s="7" t="str">
        <f t="shared" si="3"/>
        <v/>
      </c>
    </row>
    <row r="29" spans="1:9" x14ac:dyDescent="0.25">
      <c r="A29" t="s">
        <v>298</v>
      </c>
      <c r="C29" s="6">
        <v>25</v>
      </c>
      <c r="D29" s="7" t="s">
        <v>414</v>
      </c>
      <c r="E29" s="6" t="str">
        <f>VLOOKUP(A29,COV!$1:$1048576,2,0)</f>
        <v>RJ14GN7808</v>
      </c>
      <c r="F29" s="6">
        <f>VLOOKUP(A29,COV!$1:$1048576,3,0)</f>
        <v>87</v>
      </c>
      <c r="G29" s="6">
        <f>VLOOKUP(E29,DISTANCE!$1:$1048576,5,0)</f>
        <v>18.829999999999998</v>
      </c>
      <c r="H29" s="6">
        <f>VLOOKUP(E29,DISTANCE!$1:$1048576,6,0)</f>
        <v>2.99</v>
      </c>
      <c r="I29" s="7" t="str">
        <f t="shared" si="3"/>
        <v/>
      </c>
    </row>
    <row r="30" spans="1:9" x14ac:dyDescent="0.25">
      <c r="A30" t="s">
        <v>308</v>
      </c>
      <c r="C30" s="6">
        <v>26</v>
      </c>
      <c r="D30" s="7" t="s">
        <v>414</v>
      </c>
      <c r="E30" s="6" t="str">
        <f>VLOOKUP(A30,COV!$1:$1048576,2,0)</f>
        <v>RJ14GN7683</v>
      </c>
      <c r="F30" s="6">
        <f>VLOOKUP(A30,COV!$1:$1048576,3,0)</f>
        <v>92</v>
      </c>
      <c r="G30" s="6">
        <f>VLOOKUP(E30,DISTANCE!$1:$1048576,5,0)</f>
        <v>47.77</v>
      </c>
      <c r="H30" s="6">
        <f>VLOOKUP(E30,DISTANCE!$1:$1048576,6,0)</f>
        <v>3.46</v>
      </c>
      <c r="I30" s="7" t="str">
        <f t="shared" si="3"/>
        <v/>
      </c>
    </row>
    <row r="31" spans="1:9" x14ac:dyDescent="0.25">
      <c r="A31" t="s">
        <v>217</v>
      </c>
      <c r="C31" s="6">
        <v>27</v>
      </c>
      <c r="D31" s="7" t="s">
        <v>413</v>
      </c>
      <c r="E31" s="6" t="str">
        <f>VLOOKUP(A31,COV!$1:$1048576,2,0)</f>
        <v>RJ14GN7685</v>
      </c>
      <c r="F31" s="6">
        <f>VLOOKUP(A31,COV!$1:$1048576,3,0)</f>
        <v>90</v>
      </c>
      <c r="G31" s="6">
        <f>VLOOKUP(E31,DISTANCE!$1:$1048576,5,0)</f>
        <v>26.79</v>
      </c>
      <c r="H31" s="6">
        <f>VLOOKUP(E31,DISTANCE!$1:$1048576,6,0)</f>
        <v>5.36</v>
      </c>
      <c r="I31" s="7" t="str">
        <f t="shared" si="3"/>
        <v/>
      </c>
    </row>
    <row r="32" spans="1:9" x14ac:dyDescent="0.25">
      <c r="A32" t="s">
        <v>294</v>
      </c>
      <c r="C32" s="6">
        <v>28</v>
      </c>
      <c r="D32" s="7" t="s">
        <v>413</v>
      </c>
      <c r="E32" s="6" t="str">
        <f>VLOOKUP(A32,COV!$1:$1048576,2,0)</f>
        <v>RJ14GN7699</v>
      </c>
      <c r="F32" s="6">
        <f>VLOOKUP(A32,COV!$1:$1048576,3,0)</f>
        <v>86</v>
      </c>
      <c r="G32" s="6">
        <f>VLOOKUP(E32,DISTANCE!$1:$1048576,5,0)</f>
        <v>25.18</v>
      </c>
      <c r="H32" s="6">
        <f>VLOOKUP(E32,DISTANCE!$1:$1048576,6,0)</f>
        <v>5.74</v>
      </c>
      <c r="I32" s="7" t="str">
        <f t="shared" si="3"/>
        <v/>
      </c>
    </row>
    <row r="33" spans="1:9" x14ac:dyDescent="0.25">
      <c r="A33" t="s">
        <v>136</v>
      </c>
      <c r="C33" s="6">
        <v>29</v>
      </c>
      <c r="D33" s="7" t="s">
        <v>412</v>
      </c>
      <c r="E33" s="6" t="str">
        <f>VLOOKUP(A33,COV!$1:$1048576,2,0)</f>
        <v>RJ14GQ5271</v>
      </c>
      <c r="F33" s="6">
        <f>VLOOKUP(A33,COV!$1:$1048576,3,0)</f>
        <v>92</v>
      </c>
      <c r="G33" s="6">
        <f>VLOOKUP(E33,DISTANCE!$1:$1048576,5,0)</f>
        <v>24.45</v>
      </c>
      <c r="H33" s="6">
        <f>VLOOKUP(E33,DISTANCE!$1:$1048576,6,0)</f>
        <v>7.64</v>
      </c>
      <c r="I33" s="7" t="str">
        <f t="shared" si="3"/>
        <v/>
      </c>
    </row>
    <row r="34" spans="1:9" x14ac:dyDescent="0.25">
      <c r="A34" t="s">
        <v>124</v>
      </c>
      <c r="C34" s="6">
        <v>30</v>
      </c>
      <c r="D34" s="7" t="s">
        <v>412</v>
      </c>
      <c r="E34" s="6" t="str">
        <f>VLOOKUP(A34,COV!$1:$1048576,2,0)</f>
        <v>RJ14GQ5275</v>
      </c>
      <c r="F34" s="6">
        <f>VLOOKUP(A34,COV!$1:$1048576,3,0)</f>
        <v>95</v>
      </c>
      <c r="G34" s="6">
        <f>VLOOKUP(E34,DISTANCE!$1:$1048576,5,0)</f>
        <v>26.9</v>
      </c>
      <c r="H34" s="6">
        <f>VLOOKUP(E34,DISTANCE!$1:$1048576,6,0)</f>
        <v>5.48</v>
      </c>
      <c r="I34" s="7" t="str">
        <f t="shared" si="3"/>
        <v/>
      </c>
    </row>
    <row r="35" spans="1:9" x14ac:dyDescent="0.25">
      <c r="A35" t="s">
        <v>231</v>
      </c>
      <c r="C35" s="6">
        <v>31</v>
      </c>
      <c r="D35" s="7" t="s">
        <v>412</v>
      </c>
      <c r="E35" s="6" t="str">
        <f>VLOOKUP(A35,COV!$1:$1048576,2,0)</f>
        <v>RJ14GN7664</v>
      </c>
      <c r="F35" s="6">
        <f>VLOOKUP(A35,COV!$1:$1048576,3,0)</f>
        <v>91</v>
      </c>
      <c r="G35" s="6">
        <f>VLOOKUP(E35,DISTANCE!$1:$1048576,5,0)</f>
        <v>39.619999999999997</v>
      </c>
      <c r="H35" s="6">
        <f>VLOOKUP(E35,DISTANCE!$1:$1048576,6,0)</f>
        <v>6.28</v>
      </c>
      <c r="I35" s="7" t="str">
        <f t="shared" si="3"/>
        <v/>
      </c>
    </row>
    <row r="36" spans="1:9" x14ac:dyDescent="0.25">
      <c r="A36" t="s">
        <v>284</v>
      </c>
      <c r="C36" s="6">
        <v>32</v>
      </c>
      <c r="D36" s="7" t="s">
        <v>412</v>
      </c>
      <c r="E36" s="6" t="str">
        <f>VLOOKUP(A36,COV!$1:$1048576,2,0)</f>
        <v>RJ14GN5193</v>
      </c>
      <c r="F36" s="6">
        <f>VLOOKUP(A36,COV!$1:$1048576,3,0)</f>
        <v>83</v>
      </c>
      <c r="G36" s="6">
        <f>VLOOKUP(E36,DISTANCE!$1:$1048576,5,0)</f>
        <v>44.12</v>
      </c>
      <c r="H36" s="6">
        <f>VLOOKUP(E36,DISTANCE!$1:$1048576,6,0)</f>
        <v>10.27</v>
      </c>
      <c r="I36" s="7" t="str">
        <f t="shared" si="3"/>
        <v/>
      </c>
    </row>
    <row r="37" spans="1:9" x14ac:dyDescent="0.25">
      <c r="A37" t="s">
        <v>249</v>
      </c>
      <c r="C37" s="6">
        <v>33</v>
      </c>
      <c r="D37" s="7" t="s">
        <v>412</v>
      </c>
      <c r="E37" s="6" t="str">
        <f>VLOOKUP(A37,COV!$1:$1048576,2,0)</f>
        <v>RJ14GN5032</v>
      </c>
      <c r="F37" s="6">
        <f>VLOOKUP(A37,COV!$1:$1048576,3,0)</f>
        <v>100</v>
      </c>
      <c r="G37" s="6">
        <f>VLOOKUP(E37,DISTANCE!$1:$1048576,5,0)</f>
        <v>41.53</v>
      </c>
      <c r="H37" s="6">
        <f>VLOOKUP(E37,DISTANCE!$1:$1048576,6,0)</f>
        <v>6.73</v>
      </c>
      <c r="I37" s="7" t="str">
        <f t="shared" si="3"/>
        <v/>
      </c>
    </row>
    <row r="38" spans="1:9" x14ac:dyDescent="0.25">
      <c r="A38" t="s">
        <v>202</v>
      </c>
      <c r="C38" s="6">
        <v>34</v>
      </c>
      <c r="D38" s="7" t="s">
        <v>411</v>
      </c>
      <c r="E38" s="6" t="str">
        <f>VLOOKUP(A38,COV!$1:$1048576,2,0)</f>
        <v>RJ14GN8108</v>
      </c>
      <c r="F38" s="6">
        <f>VLOOKUP(A38,COV!$1:$1048576,3,0)</f>
        <v>82</v>
      </c>
      <c r="G38" s="6">
        <f>VLOOKUP(E38,DISTANCE!$1:$1048576,5,0)</f>
        <v>60.25</v>
      </c>
      <c r="H38" s="6">
        <f>VLOOKUP(E38,DISTANCE!$1:$1048576,6,0)</f>
        <v>9.69</v>
      </c>
      <c r="I38" s="7" t="str">
        <f t="shared" si="3"/>
        <v/>
      </c>
    </row>
    <row r="39" spans="1:9" x14ac:dyDescent="0.25">
      <c r="A39" t="s">
        <v>137</v>
      </c>
      <c r="C39" s="6">
        <v>35</v>
      </c>
      <c r="D39" s="7" t="s">
        <v>411</v>
      </c>
      <c r="E39" s="6" t="str">
        <f>VLOOKUP(A39,COV!$1:$1048576,2,0)</f>
        <v>RJ14GQ5273</v>
      </c>
      <c r="F39" s="6">
        <f>VLOOKUP(A39,COV!$1:$1048576,3,0)</f>
        <v>90</v>
      </c>
      <c r="G39" s="6">
        <f>VLOOKUP(E39,DISTANCE!$1:$1048576,5,0)</f>
        <v>41.69</v>
      </c>
      <c r="H39" s="6">
        <f>VLOOKUP(E39,DISTANCE!$1:$1048576,6,0)</f>
        <v>7.29</v>
      </c>
      <c r="I39" s="7" t="str">
        <f t="shared" ref="I39" si="4">IF(F39&lt;70,"DRIVER FAULT","")</f>
        <v/>
      </c>
    </row>
    <row r="40" spans="1:9" x14ac:dyDescent="0.25">
      <c r="A40" t="s">
        <v>216</v>
      </c>
      <c r="C40" s="6">
        <v>36</v>
      </c>
      <c r="D40" s="7" t="s">
        <v>411</v>
      </c>
      <c r="E40" s="6" t="str">
        <f>VLOOKUP(A40,COV!$1:$1048576,2,0)</f>
        <v>RJ14GQ5298</v>
      </c>
      <c r="F40" s="6">
        <f>VLOOKUP(A40,COV!$1:$1048576,3,0)</f>
        <v>90</v>
      </c>
      <c r="G40" s="6">
        <f>VLOOKUP(E40,DISTANCE!$1:$1048576,5,0)</f>
        <v>53.75</v>
      </c>
      <c r="H40" s="6">
        <f>VLOOKUP(E40,DISTANCE!$1:$1048576,6,0)</f>
        <v>9.1999999999999993</v>
      </c>
      <c r="I40" s="7" t="str">
        <f t="shared" si="1"/>
        <v/>
      </c>
    </row>
    <row r="41" spans="1:9" x14ac:dyDescent="0.25">
      <c r="A41" t="s">
        <v>228</v>
      </c>
      <c r="C41" s="6">
        <v>37</v>
      </c>
      <c r="D41" s="7" t="s">
        <v>411</v>
      </c>
      <c r="E41" s="6" t="str">
        <f>VLOOKUP(A41,COV!$1:$1048576,2,0)</f>
        <v>RJ14GQ5277</v>
      </c>
      <c r="F41" s="6">
        <f>VLOOKUP(A41,COV!$1:$1048576,3,0)</f>
        <v>88</v>
      </c>
      <c r="G41" s="6">
        <f>VLOOKUP(E41,DISTANCE!$1:$1048576,5,0)</f>
        <v>32.11</v>
      </c>
      <c r="H41" s="6">
        <f>VLOOKUP(E41,DISTANCE!$1:$1048576,6,0)</f>
        <v>5.41</v>
      </c>
      <c r="I41" s="7" t="str">
        <f t="shared" si="1"/>
        <v/>
      </c>
    </row>
    <row r="42" spans="1:9" x14ac:dyDescent="0.25">
      <c r="A42" t="s">
        <v>253</v>
      </c>
      <c r="C42" s="6">
        <v>38</v>
      </c>
      <c r="D42" s="7" t="s">
        <v>411</v>
      </c>
      <c r="E42" s="6" t="str">
        <f>VLOOKUP(A42,COV!$1:$1048576,2,0)</f>
        <v>RJI4GQ5300</v>
      </c>
      <c r="F42" s="6">
        <f>VLOOKUP(A42,COV!$1:$1048576,3,0)</f>
        <v>93</v>
      </c>
      <c r="G42" s="6">
        <f>VLOOKUP(E42,DISTANCE!$1:$1048576,5,0)</f>
        <v>51.1</v>
      </c>
      <c r="H42" s="6">
        <f>VLOOKUP(E42,DISTANCE!$1:$1048576,6,0)</f>
        <v>4.03</v>
      </c>
      <c r="I42" s="7" t="str">
        <f t="shared" si="1"/>
        <v/>
      </c>
    </row>
    <row r="43" spans="1:9" x14ac:dyDescent="0.25">
      <c r="A43" t="s">
        <v>213</v>
      </c>
      <c r="C43" s="6">
        <v>39</v>
      </c>
      <c r="D43" s="7" t="s">
        <v>410</v>
      </c>
      <c r="E43" s="6" t="str">
        <f>VLOOKUP(A43,COV!$1:$1048576,2,0)</f>
        <v>RJ14GN7799</v>
      </c>
      <c r="F43" s="6">
        <f>VLOOKUP(A43,COV!$1:$1048576,3,0)</f>
        <v>98</v>
      </c>
      <c r="G43" s="6">
        <f>VLOOKUP(E43,DISTANCE!$1:$1048576,5,0)</f>
        <v>20.260000000000002</v>
      </c>
      <c r="H43" s="6">
        <f>VLOOKUP(E43,DISTANCE!$1:$1048576,6,0)</f>
        <v>4.1100000000000003</v>
      </c>
      <c r="I43" s="7" t="str">
        <f t="shared" si="1"/>
        <v/>
      </c>
    </row>
    <row r="44" spans="1:9" x14ac:dyDescent="0.25">
      <c r="A44" t="s">
        <v>254</v>
      </c>
      <c r="C44" s="6">
        <v>40</v>
      </c>
      <c r="D44" s="7" t="s">
        <v>410</v>
      </c>
      <c r="E44" s="6" t="str">
        <f>VLOOKUP(A44,COV!$1:$1048576,2,0)</f>
        <v>RJ14GN8112</v>
      </c>
      <c r="F44" s="6">
        <f>VLOOKUP(A44,COV!$1:$1048576,3,0)</f>
        <v>95</v>
      </c>
      <c r="G44" s="6">
        <f>VLOOKUP(E44,DISTANCE!$1:$1048576,5,0)</f>
        <v>18.03</v>
      </c>
      <c r="H44" s="6">
        <f>VLOOKUP(E44,DISTANCE!$1:$1048576,6,0)</f>
        <v>3.81</v>
      </c>
      <c r="I44" s="7" t="str">
        <f t="shared" si="1"/>
        <v/>
      </c>
    </row>
    <row r="45" spans="1:9" x14ac:dyDescent="0.25">
      <c r="A45" t="s">
        <v>260</v>
      </c>
      <c r="C45" s="6">
        <v>41</v>
      </c>
      <c r="D45" s="7" t="s">
        <v>409</v>
      </c>
      <c r="E45" s="6" t="str">
        <f>VLOOKUP(A45,COV!$1:$1048576,2,0)</f>
        <v>RJ14GN7697</v>
      </c>
      <c r="F45" s="6">
        <f>VLOOKUP(A45,COV!$1:$1048576,3,0)</f>
        <v>97</v>
      </c>
      <c r="G45" s="6">
        <f>VLOOKUP(E45,DISTANCE!$1:$1048576,5,0)</f>
        <v>31.14</v>
      </c>
      <c r="H45" s="6">
        <f>VLOOKUP(E45,DISTANCE!$1:$1048576,6,0)</f>
        <v>5.87</v>
      </c>
      <c r="I45" s="7" t="str">
        <f t="shared" si="1"/>
        <v/>
      </c>
    </row>
    <row r="46" spans="1:9" x14ac:dyDescent="0.25">
      <c r="A46" t="s">
        <v>245</v>
      </c>
      <c r="C46" s="6">
        <v>42</v>
      </c>
      <c r="D46" s="7" t="s">
        <v>409</v>
      </c>
      <c r="E46" s="6" t="str">
        <f>VLOOKUP(A46,COV!$1:$1048576,2,0)</f>
        <v>RJ14GN7688</v>
      </c>
      <c r="F46" s="6">
        <f>VLOOKUP(A46,COV!$1:$1048576,3,0)</f>
        <v>97</v>
      </c>
      <c r="G46" s="6">
        <f>VLOOKUP(E46,DISTANCE!$1:$1048576,5,0)</f>
        <v>47.91</v>
      </c>
      <c r="H46" s="6">
        <f>VLOOKUP(E46,DISTANCE!$1:$1048576,6,0)</f>
        <v>5.79</v>
      </c>
      <c r="I46" s="7" t="str">
        <f t="shared" si="1"/>
        <v/>
      </c>
    </row>
    <row r="47" spans="1:9" x14ac:dyDescent="0.25">
      <c r="A47" t="s">
        <v>125</v>
      </c>
      <c r="C47" s="6">
        <v>43</v>
      </c>
      <c r="D47" s="7" t="s">
        <v>408</v>
      </c>
      <c r="E47" s="6" t="str">
        <f>VLOOKUP(A47,COV!$1:$1048576,2,0)</f>
        <v>RJ14GQ5294</v>
      </c>
      <c r="F47" s="6">
        <f>VLOOKUP(A47,COV!$1:$1048576,3,0)</f>
        <v>92</v>
      </c>
      <c r="G47" s="6">
        <f>VLOOKUP(E47,DISTANCE!$1:$1048576,5,0)</f>
        <v>38.49</v>
      </c>
      <c r="H47" s="6">
        <f>VLOOKUP(E47,DISTANCE!$1:$1048576,6,0)</f>
        <v>3.41</v>
      </c>
      <c r="I47" s="7" t="str">
        <f t="shared" si="1"/>
        <v/>
      </c>
    </row>
    <row r="48" spans="1:9" x14ac:dyDescent="0.25">
      <c r="A48" t="s">
        <v>224</v>
      </c>
      <c r="C48" s="6">
        <v>44</v>
      </c>
      <c r="D48" s="7" t="s">
        <v>408</v>
      </c>
      <c r="E48" s="6" t="str">
        <f>VLOOKUP(A48,COV!$1:$1048576,2,0)</f>
        <v>RJ14GN7675</v>
      </c>
      <c r="F48" s="6">
        <f>VLOOKUP(A48,COV!$1:$1048576,3,0)</f>
        <v>98</v>
      </c>
      <c r="G48" s="6">
        <f>VLOOKUP(E48,DISTANCE!$1:$1048576,5,0)</f>
        <v>43.65</v>
      </c>
      <c r="H48" s="6">
        <f>VLOOKUP(E48,DISTANCE!$1:$1048576,6,0)</f>
        <v>5.29</v>
      </c>
      <c r="I48" s="7" t="str">
        <f t="shared" si="1"/>
        <v/>
      </c>
    </row>
    <row r="49" spans="1:9" x14ac:dyDescent="0.25">
      <c r="A49" t="s">
        <v>288</v>
      </c>
      <c r="C49" s="6">
        <v>45</v>
      </c>
      <c r="D49" s="7" t="s">
        <v>408</v>
      </c>
      <c r="E49" s="6" t="str">
        <f>VLOOKUP(A49,COV!$1:$1048576,2,0)</f>
        <v>RJ14GN7666</v>
      </c>
      <c r="F49" s="6">
        <f>VLOOKUP(A49,COV!$1:$1048576,3,0)</f>
        <v>95</v>
      </c>
      <c r="G49" s="6">
        <f>VLOOKUP(E49,DISTANCE!$1:$1048576,5,0)</f>
        <v>33.86</v>
      </c>
      <c r="H49" s="6">
        <f>VLOOKUP(E49,DISTANCE!$1:$1048576,6,0)</f>
        <v>6.06</v>
      </c>
      <c r="I49" s="7" t="str">
        <f t="shared" si="1"/>
        <v/>
      </c>
    </row>
    <row r="50" spans="1:9" x14ac:dyDescent="0.25">
      <c r="A50" t="s">
        <v>237</v>
      </c>
      <c r="C50" s="6">
        <v>46</v>
      </c>
      <c r="D50" s="7" t="s">
        <v>407</v>
      </c>
      <c r="E50" s="6" t="str">
        <f>VLOOKUP(A50,COV!$1:$1048576,2,0)</f>
        <v>RJ14GN7823</v>
      </c>
      <c r="F50" s="6">
        <f>VLOOKUP(A50,COV!$1:$1048576,3,0)</f>
        <v>96</v>
      </c>
      <c r="G50" s="6">
        <f>VLOOKUP(E50,DISTANCE!$1:$1048576,5,0)</f>
        <v>43.02</v>
      </c>
      <c r="H50" s="6">
        <f>VLOOKUP(E50,DISTANCE!$1:$1048576,6,0)</f>
        <v>5.08</v>
      </c>
      <c r="I50" s="7" t="str">
        <f t="shared" si="1"/>
        <v/>
      </c>
    </row>
    <row r="51" spans="1:9" x14ac:dyDescent="0.25">
      <c r="A51" t="s">
        <v>309</v>
      </c>
      <c r="C51" s="6">
        <v>47</v>
      </c>
      <c r="D51" s="7" t="s">
        <v>407</v>
      </c>
      <c r="E51" s="6" t="str">
        <f>VLOOKUP(A51,COV!$1:$1048576,2,0)</f>
        <v>RJ14GN7672</v>
      </c>
      <c r="F51" s="6">
        <f>VLOOKUP(A51,COV!$1:$1048576,3,0)</f>
        <v>83</v>
      </c>
      <c r="G51" s="6">
        <f>VLOOKUP(E51,DISTANCE!$1:$1048576,5,0)</f>
        <v>27.57</v>
      </c>
      <c r="H51" s="6">
        <f>VLOOKUP(E51,DISTANCE!$1:$1048576,6,0)</f>
        <v>4.8600000000000003</v>
      </c>
      <c r="I51" s="7" t="str">
        <f t="shared" si="1"/>
        <v/>
      </c>
    </row>
    <row r="52" spans="1:9" x14ac:dyDescent="0.25">
      <c r="A52" t="s">
        <v>269</v>
      </c>
      <c r="C52" s="6">
        <v>48</v>
      </c>
      <c r="D52" s="7" t="s">
        <v>406</v>
      </c>
      <c r="E52" s="6" t="str">
        <f>VLOOKUP(A52,COV!$1:$1048576,2,0)</f>
        <v>RJ14GN7810</v>
      </c>
      <c r="F52" s="6">
        <f>VLOOKUP(A52,COV!$1:$1048576,3,0)</f>
        <v>83</v>
      </c>
      <c r="G52" s="6">
        <f>VLOOKUP(E52,DISTANCE!$1:$1048576,5,0)</f>
        <v>38.67</v>
      </c>
      <c r="H52" s="6">
        <f>VLOOKUP(E52,DISTANCE!$1:$1048576,6,0)</f>
        <v>7.17</v>
      </c>
      <c r="I52" s="7" t="str">
        <f t="shared" si="1"/>
        <v/>
      </c>
    </row>
    <row r="53" spans="1:9" x14ac:dyDescent="0.25">
      <c r="A53" t="s">
        <v>247</v>
      </c>
      <c r="C53" s="6">
        <v>49</v>
      </c>
      <c r="D53" s="7" t="s">
        <v>406</v>
      </c>
      <c r="E53" s="6" t="str">
        <f>VLOOKUP(A53,COV!$1:$1048576,2,0)</f>
        <v>RJ14GN7695</v>
      </c>
      <c r="F53" s="6">
        <f>VLOOKUP(A53,COV!$1:$1048576,3,0)</f>
        <v>83</v>
      </c>
      <c r="G53" s="6">
        <f>VLOOKUP(E53,DISTANCE!$1:$1048576,5,0)</f>
        <v>27.8</v>
      </c>
      <c r="H53" s="6">
        <f>VLOOKUP(E53,DISTANCE!$1:$1048576,6,0)</f>
        <v>6.35</v>
      </c>
      <c r="I53" s="7" t="str">
        <f t="shared" si="1"/>
        <v/>
      </c>
    </row>
    <row r="54" spans="1:9" x14ac:dyDescent="0.25">
      <c r="A54" t="s">
        <v>127</v>
      </c>
      <c r="C54" s="6">
        <v>50</v>
      </c>
      <c r="D54" s="7" t="s">
        <v>405</v>
      </c>
      <c r="E54" s="6" t="str">
        <f>VLOOKUP(A54,COV!$1:$1048576,2,0)</f>
        <v>RJ14GQ5290</v>
      </c>
      <c r="F54" s="50" t="s">
        <v>1264</v>
      </c>
      <c r="G54" s="51"/>
      <c r="H54" s="51"/>
      <c r="I54" s="52"/>
    </row>
    <row r="55" spans="1:9" x14ac:dyDescent="0.25">
      <c r="A55" t="s">
        <v>263</v>
      </c>
      <c r="C55" s="6">
        <v>51</v>
      </c>
      <c r="D55" s="7" t="s">
        <v>405</v>
      </c>
      <c r="E55" s="6" t="str">
        <f>VLOOKUP(A55,COV!$1:$1048576,2,0)</f>
        <v>RJ14GN7819</v>
      </c>
      <c r="F55" s="6">
        <f>VLOOKUP(A55,COV!$1:$1048576,3,0)</f>
        <v>90</v>
      </c>
      <c r="G55" s="6">
        <f>VLOOKUP(E55,DISTANCE!$1:$1048576,5,0)</f>
        <v>23.58</v>
      </c>
      <c r="H55" s="6">
        <f>VLOOKUP(E55,DISTANCE!$1:$1048576,6,0)</f>
        <v>3.4</v>
      </c>
      <c r="I55" s="7" t="str">
        <f t="shared" si="1"/>
        <v/>
      </c>
    </row>
    <row r="56" spans="1:9" x14ac:dyDescent="0.25">
      <c r="A56" t="s">
        <v>240</v>
      </c>
      <c r="C56" s="6">
        <v>52</v>
      </c>
      <c r="D56" s="7" t="s">
        <v>405</v>
      </c>
      <c r="E56" s="6" t="str">
        <f>VLOOKUP(A56,COV!$1:$1048576,2,0)</f>
        <v>RJ14GN7698</v>
      </c>
      <c r="F56" s="6">
        <f>VLOOKUP(A56,COV!$1:$1048576,3,0)</f>
        <v>92</v>
      </c>
      <c r="G56" s="6">
        <f>VLOOKUP(E56,DISTANCE!$1:$1048576,5,0)</f>
        <v>44.61</v>
      </c>
      <c r="H56" s="6">
        <f>VLOOKUP(E56,DISTANCE!$1:$1048576,6,0)</f>
        <v>9.57</v>
      </c>
      <c r="I56" s="7" t="str">
        <f t="shared" si="1"/>
        <v/>
      </c>
    </row>
    <row r="57" spans="1:9" x14ac:dyDescent="0.25">
      <c r="A57" t="s">
        <v>262</v>
      </c>
      <c r="C57" s="6">
        <v>53</v>
      </c>
      <c r="D57" s="7" t="s">
        <v>404</v>
      </c>
      <c r="E57" s="6" t="str">
        <f>VLOOKUP(A57,COV!$1:$1048576,2,0)</f>
        <v>RJ14GN7797</v>
      </c>
      <c r="F57" s="6">
        <f>VLOOKUP(A57,COV!$1:$1048576,3,0)</f>
        <v>92</v>
      </c>
      <c r="G57" s="6">
        <f>VLOOKUP(E57,DISTANCE!$1:$1048576,5,0)</f>
        <v>29.16</v>
      </c>
      <c r="H57" s="6">
        <f>VLOOKUP(E57,DISTANCE!$1:$1048576,6,0)</f>
        <v>6.06</v>
      </c>
      <c r="I57" s="7" t="str">
        <f t="shared" ref="I57" si="5">IF(F57&lt;70,"DRIVER FAULT","")</f>
        <v/>
      </c>
    </row>
    <row r="58" spans="1:9" x14ac:dyDescent="0.25">
      <c r="A58" t="s">
        <v>244</v>
      </c>
      <c r="C58" s="6">
        <v>54</v>
      </c>
      <c r="D58" s="7" t="s">
        <v>404</v>
      </c>
      <c r="E58" s="6" t="str">
        <f>VLOOKUP(A58,COV!$1:$1048576,2,0)</f>
        <v>RJ14GN7802</v>
      </c>
      <c r="F58" s="6">
        <f>VLOOKUP(A58,COV!$1:$1048576,3,0)</f>
        <v>92</v>
      </c>
      <c r="G58" s="6">
        <f>VLOOKUP(E58,DISTANCE!$1:$1048576,5,0)</f>
        <v>36.11</v>
      </c>
      <c r="H58" s="6">
        <f>VLOOKUP(E58,DISTANCE!$1:$1048576,6,0)</f>
        <v>5.66</v>
      </c>
      <c r="I58" s="7" t="str">
        <f t="shared" si="1"/>
        <v/>
      </c>
    </row>
    <row r="59" spans="1:9" x14ac:dyDescent="0.25">
      <c r="A59" t="s">
        <v>268</v>
      </c>
      <c r="C59" s="6">
        <v>55</v>
      </c>
      <c r="D59" s="7" t="s">
        <v>403</v>
      </c>
      <c r="E59" s="6" t="str">
        <f>VLOOKUP(A59,COV!$1:$1048576,2,0)</f>
        <v>RJ14GN7803</v>
      </c>
      <c r="F59" s="6">
        <f>VLOOKUP(A59,COV!$1:$1048576,3,0)</f>
        <v>95</v>
      </c>
      <c r="G59" s="6">
        <f>VLOOKUP(E59,DISTANCE!$1:$1048576,5,0)</f>
        <v>24.65</v>
      </c>
      <c r="H59" s="6">
        <f>VLOOKUP(E59,DISTANCE!$1:$1048576,6,0)</f>
        <v>5.05</v>
      </c>
      <c r="I59" s="7" t="str">
        <f t="shared" si="1"/>
        <v/>
      </c>
    </row>
    <row r="60" spans="1:9" x14ac:dyDescent="0.25">
      <c r="A60" t="s">
        <v>299</v>
      </c>
      <c r="C60" s="6">
        <v>56</v>
      </c>
      <c r="D60" s="7" t="s">
        <v>403</v>
      </c>
      <c r="E60" s="6" t="str">
        <f>VLOOKUP(A60,COV!$1:$1048576,2,0)</f>
        <v>RJ14GN7694</v>
      </c>
      <c r="F60" s="6">
        <f>VLOOKUP(A60,COV!$1:$1048576,3,0)</f>
        <v>90</v>
      </c>
      <c r="G60" s="6">
        <f>VLOOKUP(E60,DISTANCE!$1:$1048576,5,0)</f>
        <v>22.58</v>
      </c>
      <c r="H60" s="6">
        <f>VLOOKUP(E60,DISTANCE!$1:$1048576,6,0)</f>
        <v>5.14</v>
      </c>
      <c r="I60" s="7" t="str">
        <f t="shared" si="1"/>
        <v/>
      </c>
    </row>
    <row r="61" spans="1:9" x14ac:dyDescent="0.25">
      <c r="A61" t="s">
        <v>286</v>
      </c>
      <c r="C61" s="6">
        <v>57</v>
      </c>
      <c r="D61" s="7" t="s">
        <v>402</v>
      </c>
      <c r="E61" s="6" t="str">
        <f>VLOOKUP(A61,COV!$1:$1048576,2,0)</f>
        <v>RJ14GN7811</v>
      </c>
      <c r="F61" s="6">
        <f>VLOOKUP(A61,COV!$1:$1048576,3,0)</f>
        <v>95</v>
      </c>
      <c r="G61" s="6">
        <f>VLOOKUP(E61,DISTANCE!$1:$1048576,5,0)</f>
        <v>45.41</v>
      </c>
      <c r="H61" s="6">
        <f>VLOOKUP(E61,DISTANCE!$1:$1048576,6,0)</f>
        <v>6.21</v>
      </c>
      <c r="I61" s="7" t="str">
        <f t="shared" si="1"/>
        <v/>
      </c>
    </row>
    <row r="62" spans="1:9" x14ac:dyDescent="0.25">
      <c r="A62" t="s">
        <v>243</v>
      </c>
      <c r="C62" s="6">
        <v>58</v>
      </c>
      <c r="D62" s="7" t="s">
        <v>402</v>
      </c>
      <c r="E62" s="6" t="str">
        <f>VLOOKUP(A62,COV!$1:$1048576,2,0)</f>
        <v>RJ14GN7820</v>
      </c>
      <c r="F62" s="6">
        <f>VLOOKUP(A62,COV!$1:$1048576,3,0)</f>
        <v>100</v>
      </c>
      <c r="G62" s="6">
        <f>VLOOKUP(E62,DISTANCE!$1:$1048576,5,0)</f>
        <v>43.16</v>
      </c>
      <c r="H62" s="6">
        <f>VLOOKUP(E62,DISTANCE!$1:$1048576,6,0)</f>
        <v>7.61</v>
      </c>
      <c r="I62" s="7" t="str">
        <f t="shared" si="1"/>
        <v/>
      </c>
    </row>
    <row r="63" spans="1:9" x14ac:dyDescent="0.25">
      <c r="A63" t="s">
        <v>204</v>
      </c>
      <c r="C63" s="6">
        <v>59</v>
      </c>
      <c r="D63" s="7" t="s">
        <v>401</v>
      </c>
      <c r="E63" s="6" t="str">
        <f>VLOOKUP(A63,COV!$1:$1048576,2,0)</f>
        <v>RJ14GN7682</v>
      </c>
      <c r="F63" s="6">
        <f>VLOOKUP(A63,COV!$1:$1048576,3,0)</f>
        <v>89</v>
      </c>
      <c r="G63" s="6">
        <f>VLOOKUP(E63,DISTANCE!$1:$1048576,5,0)</f>
        <v>27.99</v>
      </c>
      <c r="H63" s="6">
        <f>VLOOKUP(E63,DISTANCE!$1:$1048576,6,0)</f>
        <v>3.21</v>
      </c>
      <c r="I63" s="7" t="str">
        <f t="shared" ref="I63" si="6">IF(F63&lt;70,"DRIVER FAULT","")</f>
        <v/>
      </c>
    </row>
    <row r="64" spans="1:9" x14ac:dyDescent="0.25">
      <c r="A64" t="s">
        <v>221</v>
      </c>
      <c r="C64" s="6">
        <v>60</v>
      </c>
      <c r="D64" s="7" t="s">
        <v>401</v>
      </c>
      <c r="E64" s="6" t="str">
        <f>VLOOKUP(A64,COV!$1:$1048576,2,0)</f>
        <v>RJ14GN7809</v>
      </c>
      <c r="F64" s="6">
        <f>VLOOKUP(A64,COV!$1:$1048576,3,0)</f>
        <v>84</v>
      </c>
      <c r="G64" s="6">
        <f>VLOOKUP(E64,DISTANCE!$1:$1048576,5,0)</f>
        <v>37.69</v>
      </c>
      <c r="H64" s="6">
        <f>VLOOKUP(E64,DISTANCE!$1:$1048576,6,0)</f>
        <v>7.03</v>
      </c>
      <c r="I64" s="7" t="str">
        <f t="shared" si="1"/>
        <v/>
      </c>
    </row>
    <row r="65" spans="1:9" x14ac:dyDescent="0.25">
      <c r="A65" t="s">
        <v>265</v>
      </c>
      <c r="C65" s="6">
        <v>61</v>
      </c>
      <c r="D65" s="7" t="s">
        <v>400</v>
      </c>
      <c r="E65" s="6" t="str">
        <f>VLOOKUP(A65,COV!$1:$1048576,2,0)</f>
        <v>RJ14GN7795</v>
      </c>
      <c r="F65" s="6">
        <f>VLOOKUP(A65,COV!$1:$1048576,3,0)</f>
        <v>91</v>
      </c>
      <c r="G65" s="6">
        <f>VLOOKUP(E65,DISTANCE!$1:$1048576,5,0)</f>
        <v>37.83</v>
      </c>
      <c r="H65" s="6">
        <f>VLOOKUP(E65,DISTANCE!$1:$1048576,6,0)</f>
        <v>5.91</v>
      </c>
      <c r="I65" s="7" t="str">
        <f t="shared" si="1"/>
        <v/>
      </c>
    </row>
    <row r="66" spans="1:9" x14ac:dyDescent="0.25">
      <c r="A66" t="s">
        <v>248</v>
      </c>
      <c r="C66" s="6">
        <v>62</v>
      </c>
      <c r="D66" s="7" t="s">
        <v>400</v>
      </c>
      <c r="E66" s="6" t="str">
        <f>VLOOKUP(A66,COV!$1:$1048576,2,0)</f>
        <v>RJ14GN8113</v>
      </c>
      <c r="F66" s="6">
        <f>VLOOKUP(A66,COV!$1:$1048576,3,0)</f>
        <v>90</v>
      </c>
      <c r="G66" s="6">
        <f>VLOOKUP(E66,DISTANCE!$1:$1048576,5,0)</f>
        <v>33.450000000000003</v>
      </c>
      <c r="H66" s="6">
        <f>VLOOKUP(E66,DISTANCE!$1:$1048576,6,0)</f>
        <v>5.97</v>
      </c>
      <c r="I66" s="7" t="str">
        <f t="shared" si="1"/>
        <v/>
      </c>
    </row>
    <row r="67" spans="1:9" x14ac:dyDescent="0.25">
      <c r="A67" t="s">
        <v>302</v>
      </c>
      <c r="C67" s="6">
        <v>63</v>
      </c>
      <c r="D67" s="7" t="s">
        <v>399</v>
      </c>
      <c r="E67" s="6" t="str">
        <f>VLOOKUP(A67,COV!$1:$1048576,2,0)</f>
        <v>RJ14GN7667</v>
      </c>
      <c r="F67" s="6">
        <f>VLOOKUP(A67,COV!$1:$1048576,3,0)</f>
        <v>91</v>
      </c>
      <c r="G67" s="6">
        <f>VLOOKUP(E67,DISTANCE!$1:$1048576,5,0)</f>
        <v>43.11</v>
      </c>
      <c r="H67" s="6">
        <f>VLOOKUP(E67,DISTANCE!$1:$1048576,6,0)</f>
        <v>4.97</v>
      </c>
      <c r="I67" s="7" t="str">
        <f t="shared" ref="I67" si="7">IF(F67&lt;70,"DRIVER FAULT","")</f>
        <v/>
      </c>
    </row>
    <row r="68" spans="1:9" x14ac:dyDescent="0.25">
      <c r="A68" t="s">
        <v>304</v>
      </c>
      <c r="C68" s="6">
        <v>64</v>
      </c>
      <c r="D68" s="7" t="s">
        <v>399</v>
      </c>
      <c r="E68" s="6" t="str">
        <f>VLOOKUP(A68,COV!$1:$1048576,2,0)</f>
        <v>RJ14GN7661</v>
      </c>
      <c r="F68" s="50" t="s">
        <v>761</v>
      </c>
      <c r="G68" s="51"/>
      <c r="H68" s="51"/>
      <c r="I68" s="52"/>
    </row>
    <row r="69" spans="1:9" x14ac:dyDescent="0.25">
      <c r="A69" t="s">
        <v>259</v>
      </c>
      <c r="C69" s="6">
        <v>65</v>
      </c>
      <c r="D69" s="7" t="s">
        <v>398</v>
      </c>
      <c r="E69" s="6" t="str">
        <f>VLOOKUP(A69,COV!$1:$1048576,2,0)</f>
        <v>RJ14GN7822</v>
      </c>
      <c r="F69" s="6">
        <f>VLOOKUP(A69,COV!$1:$1048576,3,0)</f>
        <v>92</v>
      </c>
      <c r="G69" s="6">
        <f>VLOOKUP(E69,DISTANCE!$1:$1048576,5,0)</f>
        <v>29.9</v>
      </c>
      <c r="H69" s="6">
        <f>VLOOKUP(E69,DISTANCE!$1:$1048576,6,0)</f>
        <v>5.66</v>
      </c>
      <c r="I69" s="7" t="str">
        <f t="shared" si="1"/>
        <v/>
      </c>
    </row>
    <row r="70" spans="1:9" x14ac:dyDescent="0.25">
      <c r="A70" t="s">
        <v>229</v>
      </c>
      <c r="C70" s="6">
        <v>66</v>
      </c>
      <c r="D70" s="7" t="s">
        <v>398</v>
      </c>
      <c r="E70" s="6" t="str">
        <f>VLOOKUP(A70,COV!$1:$1048576,2,0)</f>
        <v>RJ14GN8489</v>
      </c>
      <c r="F70" s="6">
        <f>VLOOKUP(A70,COV!$1:$1048576,3,0)</f>
        <v>92</v>
      </c>
      <c r="G70" s="6">
        <f>VLOOKUP(E70,DISTANCE!$1:$1048576,5,0)</f>
        <v>27.83</v>
      </c>
      <c r="H70" s="6">
        <f>VLOOKUP(E70,DISTANCE!$1:$1048576,6,0)</f>
        <v>3.29</v>
      </c>
      <c r="I70" s="7" t="str">
        <f t="shared" ref="I70:I85" si="8">IF(F70&lt;70,"DRIVER FAULT","")</f>
        <v/>
      </c>
    </row>
    <row r="71" spans="1:9" x14ac:dyDescent="0.25">
      <c r="A71" t="s">
        <v>250</v>
      </c>
      <c r="C71" s="6">
        <v>67</v>
      </c>
      <c r="D71" s="7" t="s">
        <v>398</v>
      </c>
      <c r="E71" s="6" t="str">
        <f>VLOOKUP(A71,COV!$1:$1048576,2,0)</f>
        <v>RJ14GN7814</v>
      </c>
      <c r="F71" s="6">
        <f>VLOOKUP(A71,COV!$1:$1048576,3,0)</f>
        <v>89</v>
      </c>
      <c r="G71" s="6">
        <f>VLOOKUP(E71,DISTANCE!$1:$1048576,5,0)</f>
        <v>28.24</v>
      </c>
      <c r="H71" s="6">
        <f>VLOOKUP(E71,DISTANCE!$1:$1048576,6,0)</f>
        <v>5.67</v>
      </c>
      <c r="I71" s="7" t="str">
        <f t="shared" si="8"/>
        <v/>
      </c>
    </row>
    <row r="72" spans="1:9" x14ac:dyDescent="0.25">
      <c r="A72" t="s">
        <v>232</v>
      </c>
      <c r="C72" s="6">
        <v>68</v>
      </c>
      <c r="D72" s="7" t="s">
        <v>397</v>
      </c>
      <c r="E72" s="6" t="str">
        <f>VLOOKUP(A72,COV!$1:$1048576,2,0)</f>
        <v>RJ14GQ5270</v>
      </c>
      <c r="F72" s="6">
        <f>VLOOKUP(A72,COV!$1:$1048576,3,0)</f>
        <v>78</v>
      </c>
      <c r="G72" s="6">
        <f>VLOOKUP(E72,DISTANCE!$1:$1048576,5,0)</f>
        <v>21.67</v>
      </c>
      <c r="H72" s="6">
        <f>VLOOKUP(E72,DISTANCE!$1:$1048576,6,0)</f>
        <v>4.53</v>
      </c>
      <c r="I72" s="7" t="str">
        <f t="shared" si="8"/>
        <v/>
      </c>
    </row>
    <row r="73" spans="1:9" x14ac:dyDescent="0.25">
      <c r="A73" t="s">
        <v>285</v>
      </c>
      <c r="C73" s="6">
        <v>69</v>
      </c>
      <c r="D73" s="7" t="s">
        <v>397</v>
      </c>
      <c r="E73" s="6" t="str">
        <f>VLOOKUP(A73,COV!$1:$1048576,2,0)</f>
        <v>RJ14GN8106</v>
      </c>
      <c r="F73" s="6">
        <f>VLOOKUP(A73,COV!$1:$1048576,3,0)</f>
        <v>92</v>
      </c>
      <c r="G73" s="6">
        <f>VLOOKUP(E73,DISTANCE!$1:$1048576,5,0)</f>
        <v>21.61</v>
      </c>
      <c r="H73" s="6">
        <f>VLOOKUP(E73,DISTANCE!$1:$1048576,6,0)</f>
        <v>6.43</v>
      </c>
      <c r="I73" s="7" t="str">
        <f t="shared" si="8"/>
        <v/>
      </c>
    </row>
    <row r="74" spans="1:9" x14ac:dyDescent="0.25">
      <c r="A74" t="s">
        <v>282</v>
      </c>
      <c r="C74" s="6">
        <v>70</v>
      </c>
      <c r="D74" s="7" t="s">
        <v>396</v>
      </c>
      <c r="E74" s="6" t="str">
        <f>VLOOKUP(A74,COV!$1:$1048576,2,0)</f>
        <v>RJ14GN7663</v>
      </c>
      <c r="F74" s="6">
        <f>VLOOKUP(A74,COV!$1:$1048576,3,0)</f>
        <v>100</v>
      </c>
      <c r="G74" s="6">
        <f>VLOOKUP(E74,DISTANCE!$1:$1048576,5,0)</f>
        <v>23.2</v>
      </c>
      <c r="H74" s="6">
        <f>VLOOKUP(E74,DISTANCE!$1:$1048576,6,0)</f>
        <v>3.98</v>
      </c>
      <c r="I74" s="7" t="str">
        <f t="shared" si="8"/>
        <v/>
      </c>
    </row>
    <row r="75" spans="1:9" x14ac:dyDescent="0.25">
      <c r="A75" t="s">
        <v>246</v>
      </c>
      <c r="C75" s="6">
        <v>71</v>
      </c>
      <c r="D75" s="7" t="s">
        <v>396</v>
      </c>
      <c r="E75" s="6" t="str">
        <f>VLOOKUP(A75,COV!$1:$1048576,2,0)</f>
        <v>RJ14GN8473</v>
      </c>
      <c r="F75" s="6">
        <f>VLOOKUP(A75,COV!$1:$1048576,3,0)</f>
        <v>93</v>
      </c>
      <c r="G75" s="6">
        <f>VLOOKUP(E75,DISTANCE!$1:$1048576,5,0)</f>
        <v>33.29</v>
      </c>
      <c r="H75" s="6">
        <f>VLOOKUP(E75,DISTANCE!$1:$1048576,6,0)</f>
        <v>3.02</v>
      </c>
      <c r="I75" s="7" t="str">
        <f t="shared" si="8"/>
        <v/>
      </c>
    </row>
    <row r="76" spans="1:9" x14ac:dyDescent="0.25">
      <c r="A76" t="s">
        <v>205</v>
      </c>
      <c r="C76" s="6">
        <v>72</v>
      </c>
      <c r="D76" s="7" t="s">
        <v>395</v>
      </c>
      <c r="E76" s="6" t="str">
        <f>VLOOKUP(A76,COV!$1:$1048576,2,0)</f>
        <v>RJ14GN8109</v>
      </c>
      <c r="F76" s="6">
        <f>VLOOKUP(A76,COV!$1:$1048576,3,0)</f>
        <v>86</v>
      </c>
      <c r="G76" s="6">
        <f>VLOOKUP(E76,DISTANCE!$1:$1048576,5,0)</f>
        <v>20.28</v>
      </c>
      <c r="H76" s="6">
        <f>VLOOKUP(E76,DISTANCE!$1:$1048576,6,0)</f>
        <v>4.1500000000000004</v>
      </c>
      <c r="I76" s="7" t="str">
        <f t="shared" si="8"/>
        <v/>
      </c>
    </row>
    <row r="77" spans="1:9" x14ac:dyDescent="0.25">
      <c r="A77" t="s">
        <v>238</v>
      </c>
      <c r="C77" s="6">
        <v>73</v>
      </c>
      <c r="D77" s="7" t="s">
        <v>395</v>
      </c>
      <c r="E77" s="6" t="str">
        <f>VLOOKUP(A77,COV!$1:$1048576,2,0)</f>
        <v>RJ14GN7824</v>
      </c>
      <c r="F77" s="6">
        <f>VLOOKUP(A77,COV!$1:$1048576,3,0)</f>
        <v>85</v>
      </c>
      <c r="G77" s="6">
        <f>VLOOKUP(E77,DISTANCE!$1:$1048576,5,0)</f>
        <v>23.05</v>
      </c>
      <c r="H77" s="6">
        <f>VLOOKUP(E77,DISTANCE!$1:$1048576,6,0)</f>
        <v>3.35</v>
      </c>
      <c r="I77" s="7" t="str">
        <f t="shared" si="8"/>
        <v/>
      </c>
    </row>
    <row r="78" spans="1:9" x14ac:dyDescent="0.25">
      <c r="A78" t="s">
        <v>126</v>
      </c>
      <c r="C78" s="6">
        <v>74</v>
      </c>
      <c r="D78" s="7" t="s">
        <v>394</v>
      </c>
      <c r="E78" s="6" t="str">
        <f>VLOOKUP(A78,COV!$1:$1048576,2,0)</f>
        <v>RJ14GU7080</v>
      </c>
      <c r="F78" s="50" t="s">
        <v>1263</v>
      </c>
      <c r="G78" s="51"/>
      <c r="H78" s="51"/>
      <c r="I78" s="52"/>
    </row>
    <row r="79" spans="1:9" x14ac:dyDescent="0.25">
      <c r="A79" t="s">
        <v>135</v>
      </c>
      <c r="C79" s="6">
        <v>75</v>
      </c>
      <c r="D79" s="7" t="s">
        <v>394</v>
      </c>
      <c r="E79" s="6" t="str">
        <f>VLOOKUP(A79,COV!$1:$1048576,2,0)</f>
        <v>RJ14GU7078</v>
      </c>
      <c r="F79" s="6">
        <f>VLOOKUP(A79,COV!$1:$1048576,3,0)</f>
        <v>100</v>
      </c>
      <c r="G79" s="6">
        <f>VLOOKUP(E79,DISTANCE!$1:$1048576,5,0)</f>
        <v>51.94</v>
      </c>
      <c r="H79" s="6">
        <f>VLOOKUP(E79,DISTANCE!$1:$1048576,6,0)</f>
        <v>11.31</v>
      </c>
      <c r="I79" s="7" t="str">
        <f t="shared" ref="I78:I79" si="9">IF(F79&lt;70,"DRIVER FAULT","")</f>
        <v/>
      </c>
    </row>
    <row r="80" spans="1:9" x14ac:dyDescent="0.25">
      <c r="A80" t="s">
        <v>122</v>
      </c>
      <c r="C80" s="6">
        <v>76</v>
      </c>
      <c r="D80" s="7" t="s">
        <v>394</v>
      </c>
      <c r="E80" s="6" t="str">
        <f>VLOOKUP(A80,COV!$1:$1048576,2,0)</f>
        <v>RJ14GU7083</v>
      </c>
      <c r="F80" s="6">
        <f>VLOOKUP(A80,COV!$1:$1048576,3,0)</f>
        <v>93</v>
      </c>
      <c r="G80" s="6">
        <f>VLOOKUP(E80,DISTANCE!$1:$1048576,5,0)</f>
        <v>38.58</v>
      </c>
      <c r="H80" s="6">
        <f>VLOOKUP(E80,DISTANCE!$1:$1048576,6,0)</f>
        <v>9.5299999999999994</v>
      </c>
      <c r="I80" s="7" t="str">
        <f t="shared" ref="I80" si="10">IF(F80&lt;70,"DRIVER FAULT","")</f>
        <v/>
      </c>
    </row>
    <row r="81" spans="1:9" x14ac:dyDescent="0.25">
      <c r="A81" t="s">
        <v>132</v>
      </c>
      <c r="C81" s="6">
        <v>77</v>
      </c>
      <c r="D81" s="7" t="s">
        <v>394</v>
      </c>
      <c r="E81" s="6" t="str">
        <f>VLOOKUP(A81,COV!$1:$1048576,2,0)</f>
        <v>RJ14GU7091</v>
      </c>
      <c r="F81" s="6">
        <f>VLOOKUP(A81,COV!$1:$1048576,3,0)</f>
        <v>96</v>
      </c>
      <c r="G81" s="6">
        <f>VLOOKUP(E81,DISTANCE!$1:$1048576,5,0)</f>
        <v>41.91</v>
      </c>
      <c r="H81" s="6">
        <f>VLOOKUP(E81,DISTANCE!$1:$1048576,6,0)</f>
        <v>4.4000000000000004</v>
      </c>
      <c r="I81" s="7" t="str">
        <f t="shared" ref="I81" si="11">IF(F81&lt;70,"DRIVER FAULT","")</f>
        <v/>
      </c>
    </row>
    <row r="82" spans="1:9" x14ac:dyDescent="0.25">
      <c r="A82" t="s">
        <v>131</v>
      </c>
      <c r="C82" s="6">
        <v>78</v>
      </c>
      <c r="D82" s="7" t="s">
        <v>394</v>
      </c>
      <c r="E82" s="6" t="str">
        <f>VLOOKUP(A82,COV!$1:$1048576,2,0)</f>
        <v>RJ14GU7082</v>
      </c>
      <c r="F82" s="6">
        <f>VLOOKUP(A82,COV!$1:$1048576,3,0)</f>
        <v>96</v>
      </c>
      <c r="G82" s="6">
        <f>VLOOKUP(E82,DISTANCE!$1:$1048576,5,0)</f>
        <v>30.89</v>
      </c>
      <c r="H82" s="6">
        <f>VLOOKUP(E82,DISTANCE!$1:$1048576,6,0)</f>
        <v>3.44</v>
      </c>
      <c r="I82" s="7" t="str">
        <f t="shared" si="8"/>
        <v/>
      </c>
    </row>
    <row r="83" spans="1:9" x14ac:dyDescent="0.25">
      <c r="A83" t="s">
        <v>130</v>
      </c>
      <c r="C83" s="6">
        <v>79</v>
      </c>
      <c r="D83" s="7" t="s">
        <v>394</v>
      </c>
      <c r="E83" s="6" t="str">
        <f>VLOOKUP(A83,COV!$1:$1048576,2,0)</f>
        <v>RJ14GU7081</v>
      </c>
      <c r="F83" s="6">
        <f>VLOOKUP(A83,COV!$1:$1048576,3,0)</f>
        <v>93</v>
      </c>
      <c r="G83" s="6">
        <f>VLOOKUP(E83,DISTANCE!$1:$1048576,5,0)</f>
        <v>33.43</v>
      </c>
      <c r="H83" s="6">
        <f>VLOOKUP(E83,DISTANCE!$1:$1048576,6,0)</f>
        <v>5.25</v>
      </c>
      <c r="I83" s="7" t="str">
        <f t="shared" si="8"/>
        <v/>
      </c>
    </row>
    <row r="84" spans="1:9" x14ac:dyDescent="0.25">
      <c r="A84" t="s">
        <v>129</v>
      </c>
      <c r="C84" s="6">
        <v>80</v>
      </c>
      <c r="D84" s="7" t="s">
        <v>394</v>
      </c>
      <c r="E84" s="6" t="str">
        <f>VLOOKUP(A84,COV!$1:$1048576,2,0)</f>
        <v>RJ14GU7084</v>
      </c>
      <c r="F84" s="50" t="s">
        <v>387</v>
      </c>
      <c r="G84" s="51"/>
      <c r="H84" s="51"/>
      <c r="I84" s="52"/>
    </row>
    <row r="85" spans="1:9" x14ac:dyDescent="0.25">
      <c r="A85" t="s">
        <v>128</v>
      </c>
      <c r="C85" s="6">
        <v>81</v>
      </c>
      <c r="D85" s="7" t="s">
        <v>394</v>
      </c>
      <c r="E85" s="6" t="str">
        <f>VLOOKUP(A85,COV!$1:$1048576,2,0)</f>
        <v>RJ14GU7079</v>
      </c>
      <c r="F85" s="6">
        <f>VLOOKUP(A85,COV!$1:$1048576,3,0)</f>
        <v>95</v>
      </c>
      <c r="G85" s="6">
        <f>VLOOKUP(E85,DISTANCE!$1:$1048576,5,0)</f>
        <v>47.04</v>
      </c>
      <c r="H85" s="6">
        <f>VLOOKUP(E85,DISTANCE!$1:$1048576,6,0)</f>
        <v>7.23</v>
      </c>
      <c r="I85" s="7" t="str">
        <f t="shared" si="8"/>
        <v/>
      </c>
    </row>
    <row r="86" spans="1:9" x14ac:dyDescent="0.25">
      <c r="C86" s="48" t="s">
        <v>144</v>
      </c>
      <c r="D86" s="48"/>
      <c r="E86" s="48"/>
      <c r="F86" s="15">
        <f>AVERAGE(F5:F85)</f>
        <v>90.733333333333334</v>
      </c>
      <c r="G86" s="15">
        <f t="shared" ref="G86:H86" si="12">AVERAGE(G5:G85)</f>
        <v>36.184399999999989</v>
      </c>
      <c r="H86" s="15">
        <f t="shared" si="12"/>
        <v>5.8478666666666674</v>
      </c>
      <c r="I86" s="11"/>
    </row>
  </sheetData>
  <mergeCells count="10">
    <mergeCell ref="C1:I1"/>
    <mergeCell ref="C2:I2"/>
    <mergeCell ref="C3:I3"/>
    <mergeCell ref="C86:E86"/>
    <mergeCell ref="F84:I84"/>
    <mergeCell ref="F68:I68"/>
    <mergeCell ref="F5:I5"/>
    <mergeCell ref="F15:I15"/>
    <mergeCell ref="F78:I78"/>
    <mergeCell ref="F54:I54"/>
  </mergeCells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9F06-5DBB-4293-8832-244F86C15E47}">
  <dimension ref="A1:M199"/>
  <sheetViews>
    <sheetView topLeftCell="B1" workbookViewId="0">
      <selection activeCell="G25" sqref="C2:K51"/>
    </sheetView>
  </sheetViews>
  <sheetFormatPr defaultRowHeight="15" x14ac:dyDescent="0.25"/>
  <cols>
    <col min="1" max="1" width="30.28515625" style="8" hidden="1" customWidth="1"/>
    <col min="2" max="2" width="9.140625" style="8"/>
    <col min="3" max="3" width="10" style="8" customWidth="1"/>
    <col min="4" max="4" width="20.28515625" style="8" bestFit="1" customWidth="1"/>
    <col min="5" max="5" width="18.5703125" style="8" customWidth="1"/>
    <col min="6" max="8" width="14.7109375" style="8" customWidth="1"/>
    <col min="9" max="9" width="18.85546875" style="8" customWidth="1"/>
    <col min="10" max="10" width="21.5703125" style="8" bestFit="1" customWidth="1"/>
    <col min="11" max="11" width="17" style="8" bestFit="1" customWidth="1"/>
    <col min="12" max="16384" width="9.140625" style="8"/>
  </cols>
  <sheetData>
    <row r="1" spans="1:11" x14ac:dyDescent="0.25">
      <c r="C1" s="53"/>
      <c r="D1" s="54"/>
      <c r="E1" s="54"/>
      <c r="F1" s="54"/>
      <c r="G1" s="54"/>
      <c r="H1" s="54"/>
      <c r="I1" s="54"/>
      <c r="J1" s="54"/>
      <c r="K1" s="55"/>
    </row>
    <row r="2" spans="1:11" x14ac:dyDescent="0.25">
      <c r="C2" s="56" t="s">
        <v>361</v>
      </c>
      <c r="D2" s="56"/>
      <c r="E2" s="56"/>
      <c r="F2" s="56"/>
      <c r="G2" s="56"/>
      <c r="H2" s="56"/>
      <c r="I2" s="56"/>
      <c r="J2" s="56"/>
      <c r="K2" s="56"/>
    </row>
    <row r="3" spans="1:11" x14ac:dyDescent="0.25">
      <c r="C3" s="56" t="s">
        <v>547</v>
      </c>
      <c r="D3" s="56"/>
      <c r="E3" s="56"/>
      <c r="F3" s="56"/>
      <c r="G3" s="56"/>
      <c r="H3" s="56"/>
      <c r="I3" s="56"/>
      <c r="J3" s="56"/>
      <c r="K3" s="56"/>
    </row>
    <row r="4" spans="1:11" x14ac:dyDescent="0.25">
      <c r="C4" s="57">
        <f ca="1">TODAY()</f>
        <v>46178</v>
      </c>
      <c r="D4" s="57"/>
      <c r="E4" s="57"/>
      <c r="F4" s="57"/>
      <c r="G4" s="57"/>
      <c r="H4" s="57"/>
      <c r="I4" s="57"/>
      <c r="J4" s="57"/>
      <c r="K4" s="57"/>
    </row>
    <row r="5" spans="1:11" x14ac:dyDescent="0.25">
      <c r="C5" s="16" t="s">
        <v>142</v>
      </c>
      <c r="D5" s="16" t="s">
        <v>0</v>
      </c>
      <c r="E5" s="16" t="s">
        <v>139</v>
      </c>
      <c r="F5" s="16" t="s">
        <v>1</v>
      </c>
      <c r="G5" s="16" t="s">
        <v>2</v>
      </c>
      <c r="H5" s="16" t="s">
        <v>3</v>
      </c>
      <c r="I5" s="16" t="s">
        <v>4</v>
      </c>
      <c r="J5" s="16" t="s">
        <v>5</v>
      </c>
      <c r="K5" s="16" t="s">
        <v>143</v>
      </c>
    </row>
    <row r="6" spans="1:11" x14ac:dyDescent="0.25">
      <c r="A6" s="10" t="s">
        <v>597</v>
      </c>
      <c r="C6" s="6">
        <v>1</v>
      </c>
      <c r="D6" s="6" t="s">
        <v>363</v>
      </c>
      <c r="E6" s="6" t="str">
        <f>VLOOKUP(A6,COV!$1:$1048576,2,0)</f>
        <v>RJ14GN5199SW</v>
      </c>
      <c r="F6" s="17">
        <f>VLOOKUP(E6,DISTANCE!$1:$1048576,2,0)</f>
        <v>0.28472222222222221</v>
      </c>
      <c r="G6" s="17">
        <f>VLOOKUP(E6,DISTANCE!$1:$1048576,3,0)</f>
        <v>0.49722222222222223</v>
      </c>
      <c r="H6" s="18">
        <f>VLOOKUP(E6,DISTANCE!$1:$1048576,4,0)</f>
        <v>0.21231481481481482</v>
      </c>
      <c r="I6" s="7">
        <f>VLOOKUP(E6,DISTANCE!$1:$1048576,5,0)</f>
        <v>44.65</v>
      </c>
      <c r="J6" s="7">
        <f>VLOOKUP(E6,DISTANCE!$1:$1048576,6,0)</f>
        <v>8.76</v>
      </c>
      <c r="K6" s="6" t="str">
        <f>IF(I6&lt;8,"NOT WORKED","")</f>
        <v/>
      </c>
    </row>
    <row r="7" spans="1:11" x14ac:dyDescent="0.25">
      <c r="A7" s="10" t="s">
        <v>596</v>
      </c>
      <c r="C7" s="6">
        <v>2</v>
      </c>
      <c r="D7" s="6" t="s">
        <v>364</v>
      </c>
      <c r="E7" s="6" t="str">
        <f>VLOOKUP(A7,COV!$1:$1048576,2,0)</f>
        <v>RJ14GQ5284SW</v>
      </c>
      <c r="F7" s="17">
        <f>VLOOKUP(E7,DISTANCE!$1:$1048576,2,0)</f>
        <v>0.29305555555555557</v>
      </c>
      <c r="G7" s="17">
        <f>VLOOKUP(E7,DISTANCE!$1:$1048576,3,0)</f>
        <v>0.42430555555555555</v>
      </c>
      <c r="H7" s="18">
        <f>VLOOKUP(E7,DISTANCE!$1:$1048576,4,0)</f>
        <v>0.13115740740740742</v>
      </c>
      <c r="I7" s="7">
        <f>VLOOKUP(E7,DISTANCE!$1:$1048576,5,0)</f>
        <v>37.549999999999997</v>
      </c>
      <c r="J7" s="7">
        <f>VLOOKUP(E7,DISTANCE!$1:$1048576,6,0)</f>
        <v>11.93</v>
      </c>
      <c r="K7" s="6" t="str">
        <f t="shared" ref="K7:K42" si="0">IF(I7&lt;8,"NOT WORKED","")</f>
        <v/>
      </c>
    </row>
    <row r="8" spans="1:11" x14ac:dyDescent="0.25">
      <c r="A8" s="10" t="s">
        <v>595</v>
      </c>
      <c r="C8" s="6">
        <v>3</v>
      </c>
      <c r="D8" s="6" t="s">
        <v>365</v>
      </c>
      <c r="E8" s="6" t="str">
        <f>VLOOKUP(A8,COV!$1:$1048576,2,0)</f>
        <v>RJ14GN5750SW</v>
      </c>
      <c r="F8" s="17">
        <f>VLOOKUP(E8,DISTANCE!$1:$1048576,2,0)</f>
        <v>0.26874999999999999</v>
      </c>
      <c r="G8" s="17">
        <f>VLOOKUP(E8,DISTANCE!$1:$1048576,3,0)</f>
        <v>0.39583333333333331</v>
      </c>
      <c r="H8" s="18">
        <f>VLOOKUP(E8,DISTANCE!$1:$1048576,4,0)</f>
        <v>0.12653935185185186</v>
      </c>
      <c r="I8" s="7">
        <f>VLOOKUP(E8,DISTANCE!$1:$1048576,5,0)</f>
        <v>17.649999999999999</v>
      </c>
      <c r="J8" s="7">
        <f>VLOOKUP(E8,DISTANCE!$1:$1048576,6,0)</f>
        <v>5.81</v>
      </c>
      <c r="K8" s="6" t="str">
        <f t="shared" si="0"/>
        <v/>
      </c>
    </row>
    <row r="9" spans="1:11" x14ac:dyDescent="0.25">
      <c r="A9" s="10" t="s">
        <v>594</v>
      </c>
      <c r="C9" s="6">
        <v>4</v>
      </c>
      <c r="D9" s="6" t="s">
        <v>366</v>
      </c>
      <c r="E9" s="6" t="str">
        <f>VLOOKUP(A9,COV!$1:$1048576,2,0)</f>
        <v>RJ14GQ5303SW</v>
      </c>
      <c r="F9" s="17">
        <f>VLOOKUP(E9,DISTANCE!$1:$1048576,2,0)</f>
        <v>0.29583333333333334</v>
      </c>
      <c r="G9" s="17">
        <f>VLOOKUP(E9,DISTANCE!$1:$1048576,3,0)</f>
        <v>0.63888888888888884</v>
      </c>
      <c r="H9" s="18">
        <f>VLOOKUP(E9,DISTANCE!$1:$1048576,4,0)</f>
        <v>0.34278935185185183</v>
      </c>
      <c r="I9" s="7">
        <f>VLOOKUP(E9,DISTANCE!$1:$1048576,5,0)</f>
        <v>10.95</v>
      </c>
      <c r="J9" s="7">
        <f>VLOOKUP(E9,DISTANCE!$1:$1048576,6,0)</f>
        <v>1.33</v>
      </c>
      <c r="K9" s="6" t="str">
        <f t="shared" ref="K9" si="1">IF(I9&lt;8,"NOT WORKED","")</f>
        <v/>
      </c>
    </row>
    <row r="10" spans="1:11" x14ac:dyDescent="0.25">
      <c r="A10" s="10" t="s">
        <v>593</v>
      </c>
      <c r="C10" s="6">
        <v>5</v>
      </c>
      <c r="D10" s="6" t="s">
        <v>367</v>
      </c>
      <c r="E10" s="6" t="str">
        <f>VLOOKUP(A10,COV!$1:$1048576,2,0)</f>
        <v>RJ14GN5598SW</v>
      </c>
      <c r="F10" s="17">
        <f>VLOOKUP(E10,DISTANCE!$1:$1048576,2,0)</f>
        <v>0.22708333333333333</v>
      </c>
      <c r="G10" s="17">
        <f>VLOOKUP(E10,DISTANCE!$1:$1048576,3,0)</f>
        <v>0.52569444444444446</v>
      </c>
      <c r="H10" s="18">
        <f>VLOOKUP(E10,DISTANCE!$1:$1048576,4,0)</f>
        <v>0.29828703703703702</v>
      </c>
      <c r="I10" s="7">
        <f>VLOOKUP(E10,DISTANCE!$1:$1048576,5,0)</f>
        <v>14.84</v>
      </c>
      <c r="J10" s="7">
        <f>VLOOKUP(E10,DISTANCE!$1:$1048576,6,0)</f>
        <v>2.0699999999999998</v>
      </c>
      <c r="K10" s="6" t="str">
        <f t="shared" si="0"/>
        <v/>
      </c>
    </row>
    <row r="11" spans="1:11" x14ac:dyDescent="0.25">
      <c r="A11" s="10" t="s">
        <v>592</v>
      </c>
      <c r="C11" s="6">
        <v>6</v>
      </c>
      <c r="D11" s="6" t="s">
        <v>368</v>
      </c>
      <c r="E11" s="6" t="str">
        <f>VLOOKUP(A11,COV!$1:$1048576,2,0)</f>
        <v>RJ14GQ5274SW</v>
      </c>
      <c r="F11" s="17">
        <f>VLOOKUP(E11,DISTANCE!$1:$1048576,2,0)</f>
        <v>0.29722222222222222</v>
      </c>
      <c r="G11" s="17">
        <f>VLOOKUP(E11,DISTANCE!$1:$1048576,3,0)</f>
        <v>0.50902777777777775</v>
      </c>
      <c r="H11" s="18">
        <f>VLOOKUP(E11,DISTANCE!$1:$1048576,4,0)</f>
        <v>0.2122337962962963</v>
      </c>
      <c r="I11" s="7">
        <f>VLOOKUP(E11,DISTANCE!$1:$1048576,5,0)</f>
        <v>20.85</v>
      </c>
      <c r="J11" s="7">
        <f>VLOOKUP(E11,DISTANCE!$1:$1048576,6,0)</f>
        <v>4.09</v>
      </c>
      <c r="K11" s="6" t="str">
        <f t="shared" si="0"/>
        <v/>
      </c>
    </row>
    <row r="12" spans="1:11" x14ac:dyDescent="0.25">
      <c r="A12" s="10" t="s">
        <v>591</v>
      </c>
      <c r="C12" s="6">
        <v>7</v>
      </c>
      <c r="D12" s="6" t="s">
        <v>369</v>
      </c>
      <c r="E12" s="6" t="str">
        <f>VLOOKUP(A12,COV!$1:$1048576,2,0)</f>
        <v>RJ14GN5296SW</v>
      </c>
      <c r="F12" s="17">
        <f>VLOOKUP(E12,DISTANCE!$1:$1048576,2,0)</f>
        <v>0.32500000000000001</v>
      </c>
      <c r="G12" s="17">
        <f>VLOOKUP(E12,DISTANCE!$1:$1048576,3,0)</f>
        <v>0.48749999999999999</v>
      </c>
      <c r="H12" s="18">
        <f>VLOOKUP(E12,DISTANCE!$1:$1048576,4,0)</f>
        <v>0.16251157407407407</v>
      </c>
      <c r="I12" s="7">
        <f>VLOOKUP(E12,DISTANCE!$1:$1048576,5,0)</f>
        <v>24.04</v>
      </c>
      <c r="J12" s="7">
        <f>VLOOKUP(E12,DISTANCE!$1:$1048576,6,0)</f>
        <v>6.16</v>
      </c>
      <c r="K12" s="6" t="str">
        <f t="shared" si="0"/>
        <v/>
      </c>
    </row>
    <row r="13" spans="1:11" x14ac:dyDescent="0.25">
      <c r="A13" s="10" t="s">
        <v>590</v>
      </c>
      <c r="C13" s="6">
        <v>8</v>
      </c>
      <c r="D13" s="6" t="s">
        <v>370</v>
      </c>
      <c r="E13" s="6" t="str">
        <f>VLOOKUP(A13,COV!$1:$1048576,2,0)</f>
        <v>RJ14GN5031SW</v>
      </c>
      <c r="F13" s="17">
        <f>VLOOKUP(E13,DISTANCE!$1:$1048576,2,0)</f>
        <v>0.27916666666666667</v>
      </c>
      <c r="G13" s="17">
        <f>VLOOKUP(E13,DISTANCE!$1:$1048576,3,0)</f>
        <v>0.49375000000000002</v>
      </c>
      <c r="H13" s="18">
        <f>VLOOKUP(E13,DISTANCE!$1:$1048576,4,0)</f>
        <v>0.21434027777777778</v>
      </c>
      <c r="I13" s="7">
        <f>VLOOKUP(E13,DISTANCE!$1:$1048576,5,0)</f>
        <v>16.66</v>
      </c>
      <c r="J13" s="7">
        <f>VLOOKUP(E13,DISTANCE!$1:$1048576,6,0)</f>
        <v>3.24</v>
      </c>
      <c r="K13" s="6" t="str">
        <f t="shared" ref="K13" si="2">IF(I13&lt;8,"NOT WORKED","")</f>
        <v/>
      </c>
    </row>
    <row r="14" spans="1:11" x14ac:dyDescent="0.25">
      <c r="A14" s="10" t="s">
        <v>589</v>
      </c>
      <c r="C14" s="6">
        <v>9</v>
      </c>
      <c r="D14" s="6" t="s">
        <v>370</v>
      </c>
      <c r="E14" s="6" t="str">
        <f>VLOOKUP(A14,COV!$1:$1048576,2,0)</f>
        <v>RJ14GN5740SW</v>
      </c>
      <c r="F14" s="17">
        <f>VLOOKUP(E14,DISTANCE!$1:$1048576,2,0)</f>
        <v>0.28958333333333336</v>
      </c>
      <c r="G14" s="17">
        <f>VLOOKUP(E14,DISTANCE!$1:$1048576,3,0)</f>
        <v>0.49236111111111114</v>
      </c>
      <c r="H14" s="18">
        <f>VLOOKUP(E14,DISTANCE!$1:$1048576,4,0)</f>
        <v>0.20224537037037038</v>
      </c>
      <c r="I14" s="7">
        <f>VLOOKUP(E14,DISTANCE!$1:$1048576,5,0)</f>
        <v>24.93</v>
      </c>
      <c r="J14" s="7">
        <f>VLOOKUP(E14,DISTANCE!$1:$1048576,6,0)</f>
        <v>5.14</v>
      </c>
      <c r="K14" s="6" t="str">
        <f t="shared" si="0"/>
        <v/>
      </c>
    </row>
    <row r="15" spans="1:11" x14ac:dyDescent="0.25">
      <c r="A15" s="10" t="s">
        <v>588</v>
      </c>
      <c r="C15" s="6">
        <v>10</v>
      </c>
      <c r="D15" s="6" t="s">
        <v>371</v>
      </c>
      <c r="E15" s="6" t="str">
        <f>VLOOKUP(A15,COV!$1:$1048576,2,0)</f>
        <v>RJ14GN5212SW</v>
      </c>
      <c r="F15" s="17">
        <f>VLOOKUP(E15,DISTANCE!$1:$1048576,2,0)</f>
        <v>0.28402777777777777</v>
      </c>
      <c r="G15" s="17">
        <f>VLOOKUP(E15,DISTANCE!$1:$1048576,3,0)</f>
        <v>0.49027777777777776</v>
      </c>
      <c r="H15" s="18">
        <f>VLOOKUP(E15,DISTANCE!$1:$1048576,4,0)</f>
        <v>0.20592592592592593</v>
      </c>
      <c r="I15" s="7">
        <f>VLOOKUP(E15,DISTANCE!$1:$1048576,5,0)</f>
        <v>25.7</v>
      </c>
      <c r="J15" s="7">
        <f>VLOOKUP(E15,DISTANCE!$1:$1048576,6,0)</f>
        <v>5.2</v>
      </c>
      <c r="K15" s="6" t="str">
        <f t="shared" si="0"/>
        <v/>
      </c>
    </row>
    <row r="16" spans="1:11" x14ac:dyDescent="0.25">
      <c r="A16" s="10" t="s">
        <v>587</v>
      </c>
      <c r="C16" s="6">
        <v>11</v>
      </c>
      <c r="D16" s="6" t="s">
        <v>371</v>
      </c>
      <c r="E16" s="6" t="str">
        <f>VLOOKUP(A16,COV!$1:$1048576,2,0)</f>
        <v>RJ14GN4983SW</v>
      </c>
      <c r="F16" s="17">
        <f>VLOOKUP(E16,DISTANCE!$1:$1048576,2,0)</f>
        <v>0.29444444444444445</v>
      </c>
      <c r="G16" s="17">
        <f>VLOOKUP(E16,DISTANCE!$1:$1048576,3,0)</f>
        <v>0.55138888888888893</v>
      </c>
      <c r="H16" s="18">
        <f>VLOOKUP(E16,DISTANCE!$1:$1048576,4,0)</f>
        <v>0.25655092592592593</v>
      </c>
      <c r="I16" s="7">
        <f>VLOOKUP(E16,DISTANCE!$1:$1048576,5,0)</f>
        <v>29.22</v>
      </c>
      <c r="J16" s="7">
        <f>VLOOKUP(E16,DISTANCE!$1:$1048576,6,0)</f>
        <v>4.75</v>
      </c>
      <c r="K16" s="6" t="str">
        <f t="shared" si="0"/>
        <v/>
      </c>
    </row>
    <row r="17" spans="1:11" x14ac:dyDescent="0.25">
      <c r="A17" s="10" t="s">
        <v>586</v>
      </c>
      <c r="C17" s="6">
        <v>12</v>
      </c>
      <c r="D17" s="6" t="s">
        <v>372</v>
      </c>
      <c r="E17" s="6" t="str">
        <f>VLOOKUP(A17,COV!$1:$1048576,2,0)</f>
        <v>RJ14GQ5279SW</v>
      </c>
      <c r="F17" s="17">
        <f>VLOOKUP(E17,DISTANCE!$1:$1048576,2,0)</f>
        <v>0.27986111111111112</v>
      </c>
      <c r="G17" s="17">
        <f>VLOOKUP(E17,DISTANCE!$1:$1048576,3,0)</f>
        <v>0.51180555555555551</v>
      </c>
      <c r="H17" s="18">
        <f>VLOOKUP(E17,DISTANCE!$1:$1048576,4,0)</f>
        <v>0.23193287037037036</v>
      </c>
      <c r="I17" s="7">
        <f>VLOOKUP(E17,DISTANCE!$1:$1048576,5,0)</f>
        <v>17.350000000000001</v>
      </c>
      <c r="J17" s="7">
        <f>VLOOKUP(E17,DISTANCE!$1:$1048576,6,0)</f>
        <v>3.12</v>
      </c>
      <c r="K17" s="6" t="str">
        <f t="shared" si="0"/>
        <v/>
      </c>
    </row>
    <row r="18" spans="1:11" x14ac:dyDescent="0.25">
      <c r="A18" s="10" t="s">
        <v>585</v>
      </c>
      <c r="C18" s="6">
        <v>13</v>
      </c>
      <c r="D18" s="6" t="s">
        <v>372</v>
      </c>
      <c r="E18" s="6" t="str">
        <f>VLOOKUP(A18,COV!$1:$1048576,2,0)</f>
        <v>RJ14GQ5289SW</v>
      </c>
      <c r="F18" s="17">
        <f>VLOOKUP(E18,DISTANCE!$1:$1048576,2,0)</f>
        <v>0.29583333333333334</v>
      </c>
      <c r="G18" s="17">
        <f>VLOOKUP(E18,DISTANCE!$1:$1048576,3,0)</f>
        <v>0.6381944444444444</v>
      </c>
      <c r="H18" s="18">
        <f>VLOOKUP(E18,DISTANCE!$1:$1048576,4,0)</f>
        <v>0.3424537037037037</v>
      </c>
      <c r="I18" s="7">
        <f>VLOOKUP(E18,DISTANCE!$1:$1048576,5,0)</f>
        <v>37</v>
      </c>
      <c r="J18" s="7">
        <f>VLOOKUP(E18,DISTANCE!$1:$1048576,6,0)</f>
        <v>4.5</v>
      </c>
      <c r="K18" s="6" t="str">
        <f t="shared" si="0"/>
        <v/>
      </c>
    </row>
    <row r="19" spans="1:11" x14ac:dyDescent="0.25">
      <c r="A19" s="10" t="s">
        <v>584</v>
      </c>
      <c r="C19" s="6">
        <v>14</v>
      </c>
      <c r="D19" s="6" t="s">
        <v>373</v>
      </c>
      <c r="E19" s="6" t="str">
        <f>VLOOKUP(A19,COV!$1:$1048576,2,0)</f>
        <v>RJ14GQ5285DB</v>
      </c>
      <c r="F19" s="17">
        <f>VLOOKUP(E19,DISTANCE!$1:$1048576,2,0)</f>
        <v>0.28125</v>
      </c>
      <c r="G19" s="17">
        <f>VLOOKUP(E19,DISTANCE!$1:$1048576,3,0)</f>
        <v>0.49791666666666667</v>
      </c>
      <c r="H19" s="18">
        <f>VLOOKUP(E19,DISTANCE!$1:$1048576,4,0)</f>
        <v>0.21649305555555556</v>
      </c>
      <c r="I19" s="7">
        <f>VLOOKUP(E19,DISTANCE!$1:$1048576,5,0)</f>
        <v>13.91</v>
      </c>
      <c r="J19" s="7">
        <f>VLOOKUP(E19,DISTANCE!$1:$1048576,6,0)</f>
        <v>2.68</v>
      </c>
      <c r="K19" s="6" t="str">
        <f t="shared" si="0"/>
        <v/>
      </c>
    </row>
    <row r="20" spans="1:11" x14ac:dyDescent="0.25">
      <c r="A20" s="10" t="s">
        <v>583</v>
      </c>
      <c r="C20" s="6">
        <v>15</v>
      </c>
      <c r="D20" s="6" t="s">
        <v>373</v>
      </c>
      <c r="E20" s="6" t="str">
        <f>VLOOKUP(A20,COV!$1:$1048576,2,0)</f>
        <v>RJ14GN5484SW</v>
      </c>
      <c r="F20" s="17">
        <f>VLOOKUP(E20,DISTANCE!$1:$1048576,2,0)</f>
        <v>0.28680555555555554</v>
      </c>
      <c r="G20" s="17">
        <f>VLOOKUP(E20,DISTANCE!$1:$1048576,3,0)</f>
        <v>0.49375000000000002</v>
      </c>
      <c r="H20" s="18">
        <f>VLOOKUP(E20,DISTANCE!$1:$1048576,4,0)</f>
        <v>0.20677083333333332</v>
      </c>
      <c r="I20" s="7">
        <f>VLOOKUP(E20,DISTANCE!$1:$1048576,5,0)</f>
        <v>32.200000000000003</v>
      </c>
      <c r="J20" s="7">
        <f>VLOOKUP(E20,DISTANCE!$1:$1048576,6,0)</f>
        <v>6.49</v>
      </c>
      <c r="K20" s="6" t="str">
        <f t="shared" si="0"/>
        <v/>
      </c>
    </row>
    <row r="21" spans="1:11" x14ac:dyDescent="0.25">
      <c r="A21" s="10" t="s">
        <v>582</v>
      </c>
      <c r="C21" s="6">
        <v>16</v>
      </c>
      <c r="D21" s="6" t="s">
        <v>373</v>
      </c>
      <c r="E21" s="6" t="str">
        <f>VLOOKUP(A21,COV!$1:$1048576,2,0)</f>
        <v>RJ14GN8487SW</v>
      </c>
      <c r="F21" s="17">
        <f>VLOOKUP(E21,DISTANCE!$1:$1048576,2,0)</f>
        <v>0.28888888888888886</v>
      </c>
      <c r="G21" s="17">
        <f>VLOOKUP(E21,DISTANCE!$1:$1048576,3,0)</f>
        <v>0.49236111111111114</v>
      </c>
      <c r="H21" s="18">
        <f>VLOOKUP(E21,DISTANCE!$1:$1048576,4,0)</f>
        <v>0.2038425925925926</v>
      </c>
      <c r="I21" s="7">
        <f>VLOOKUP(E21,DISTANCE!$1:$1048576,5,0)</f>
        <v>18.66</v>
      </c>
      <c r="J21" s="7">
        <f>VLOOKUP(E21,DISTANCE!$1:$1048576,6,0)</f>
        <v>3.82</v>
      </c>
      <c r="K21" s="6" t="str">
        <f t="shared" si="0"/>
        <v/>
      </c>
    </row>
    <row r="22" spans="1:11" x14ac:dyDescent="0.25">
      <c r="A22" s="10" t="s">
        <v>581</v>
      </c>
      <c r="C22" s="6">
        <v>17</v>
      </c>
      <c r="D22" s="6" t="s">
        <v>374</v>
      </c>
      <c r="E22" s="6" t="str">
        <f>VLOOKUP(A22,COV!$1:$1048576,2,0)</f>
        <v>RJ14GN5207</v>
      </c>
      <c r="F22" s="17">
        <f>VLOOKUP(E22,DISTANCE!$1:$1048576,2,0)</f>
        <v>0.25972222222222224</v>
      </c>
      <c r="G22" s="17">
        <f>VLOOKUP(E22,DISTANCE!$1:$1048576,3,0)</f>
        <v>0.58611111111111114</v>
      </c>
      <c r="H22" s="18">
        <f>VLOOKUP(E22,DISTANCE!$1:$1048576,4,0)</f>
        <v>0.32677083333333334</v>
      </c>
      <c r="I22" s="7">
        <f>VLOOKUP(E22,DISTANCE!$1:$1048576,5,0)</f>
        <v>39.03</v>
      </c>
      <c r="J22" s="7">
        <f>VLOOKUP(E22,DISTANCE!$1:$1048576,6,0)</f>
        <v>4.9800000000000004</v>
      </c>
      <c r="K22" s="6" t="str">
        <f t="shared" ref="K22" si="3">IF(I22&lt;8,"NOT WORKED","")</f>
        <v/>
      </c>
    </row>
    <row r="23" spans="1:11" x14ac:dyDescent="0.25">
      <c r="A23" s="10" t="s">
        <v>580</v>
      </c>
      <c r="C23" s="6">
        <v>18</v>
      </c>
      <c r="D23" s="6" t="s">
        <v>375</v>
      </c>
      <c r="E23" s="6" t="str">
        <f>VLOOKUP(A23,COV!$1:$1048576,2,0)</f>
        <v>RJ14GN5208SW</v>
      </c>
      <c r="F23" s="17">
        <f>VLOOKUP(E23,DISTANCE!$1:$1048576,2,0)</f>
        <v>0.28749999999999998</v>
      </c>
      <c r="G23" s="17">
        <f>VLOOKUP(E23,DISTANCE!$1:$1048576,3,0)</f>
        <v>0.57152777777777775</v>
      </c>
      <c r="H23" s="18">
        <f>VLOOKUP(E23,DISTANCE!$1:$1048576,4,0)</f>
        <v>0.28424768518518517</v>
      </c>
      <c r="I23" s="7">
        <f>VLOOKUP(E23,DISTANCE!$1:$1048576,5,0)</f>
        <v>27.72</v>
      </c>
      <c r="J23" s="7">
        <f>VLOOKUP(E23,DISTANCE!$1:$1048576,6,0)</f>
        <v>4.0599999999999996</v>
      </c>
      <c r="K23" s="6" t="str">
        <f t="shared" si="0"/>
        <v/>
      </c>
    </row>
    <row r="24" spans="1:11" x14ac:dyDescent="0.25">
      <c r="A24" s="10" t="s">
        <v>579</v>
      </c>
      <c r="C24" s="6">
        <v>19</v>
      </c>
      <c r="D24" s="6" t="s">
        <v>375</v>
      </c>
      <c r="E24" s="6" t="str">
        <f>VLOOKUP(A24,COV!$1:$1048576,2,0)</f>
        <v>RJ14GN5191SW</v>
      </c>
      <c r="F24" s="17">
        <f>VLOOKUP(E24,DISTANCE!$1:$1048576,2,0)</f>
        <v>0.30625000000000002</v>
      </c>
      <c r="G24" s="17">
        <f>VLOOKUP(E24,DISTANCE!$1:$1048576,3,0)</f>
        <v>0.56805555555555554</v>
      </c>
      <c r="H24" s="18">
        <f>VLOOKUP(E24,DISTANCE!$1:$1048576,4,0)</f>
        <v>0.2619097222222222</v>
      </c>
      <c r="I24" s="7">
        <f>VLOOKUP(E24,DISTANCE!$1:$1048576,5,0)</f>
        <v>34.630000000000003</v>
      </c>
      <c r="J24" s="7">
        <f>VLOOKUP(E24,DISTANCE!$1:$1048576,6,0)</f>
        <v>5.51</v>
      </c>
      <c r="K24" s="6" t="str">
        <f t="shared" si="0"/>
        <v/>
      </c>
    </row>
    <row r="25" spans="1:11" x14ac:dyDescent="0.25">
      <c r="A25" s="10" t="s">
        <v>578</v>
      </c>
      <c r="C25" s="6">
        <v>20</v>
      </c>
      <c r="D25" s="6" t="s">
        <v>376</v>
      </c>
      <c r="E25" s="6" t="str">
        <f>VLOOKUP(A25,COV!$1:$1048576,2,0)</f>
        <v>RJ14GN5749</v>
      </c>
      <c r="F25" s="17">
        <f>VLOOKUP(E25,DISTANCE!$1:$1048576,2,0)</f>
        <v>0.30902777777777779</v>
      </c>
      <c r="G25" s="17">
        <f>VLOOKUP(E25,DISTANCE!$1:$1048576,3,0)</f>
        <v>0.4861111111111111</v>
      </c>
      <c r="H25" s="18">
        <f>VLOOKUP(E25,DISTANCE!$1:$1048576,4,0)</f>
        <v>0.17700231481481482</v>
      </c>
      <c r="I25" s="7">
        <f>VLOOKUP(E25,DISTANCE!$1:$1048576,5,0)</f>
        <v>28.4</v>
      </c>
      <c r="J25" s="7">
        <f>VLOOKUP(E25,DISTANCE!$1:$1048576,6,0)</f>
        <v>6.69</v>
      </c>
      <c r="K25" s="6" t="str">
        <f t="shared" si="0"/>
        <v/>
      </c>
    </row>
    <row r="26" spans="1:11" x14ac:dyDescent="0.25">
      <c r="A26" s="10" t="s">
        <v>577</v>
      </c>
      <c r="C26" s="6">
        <v>21</v>
      </c>
      <c r="D26" s="6" t="s">
        <v>376</v>
      </c>
      <c r="E26" s="6" t="str">
        <f>VLOOKUP(A26,COV!$1:$1048576,2,0)</f>
        <v>RJ14GN7806SW</v>
      </c>
      <c r="F26" s="17">
        <f>VLOOKUP(E26,DISTANCE!$1:$1048576,2,0)</f>
        <v>0.22708333333333333</v>
      </c>
      <c r="G26" s="17">
        <f>VLOOKUP(E26,DISTANCE!$1:$1048576,3,0)</f>
        <v>0.65833333333333333</v>
      </c>
      <c r="H26" s="18">
        <f>VLOOKUP(E26,DISTANCE!$1:$1048576,4,0)</f>
        <v>0.43125000000000002</v>
      </c>
      <c r="I26" s="7">
        <f>VLOOKUP(E26,DISTANCE!$1:$1048576,5,0)</f>
        <v>32.35</v>
      </c>
      <c r="J26" s="7">
        <f>VLOOKUP(E26,DISTANCE!$1:$1048576,6,0)</f>
        <v>3.13</v>
      </c>
      <c r="K26" s="6" t="str">
        <f t="shared" si="0"/>
        <v/>
      </c>
    </row>
    <row r="27" spans="1:11" x14ac:dyDescent="0.25">
      <c r="A27" s="10" t="s">
        <v>576</v>
      </c>
      <c r="C27" s="6">
        <v>22</v>
      </c>
      <c r="D27" s="6" t="s">
        <v>377</v>
      </c>
      <c r="E27" s="6" t="str">
        <f>VLOOKUP(A27,COV!$1:$1048576,2,0)</f>
        <v>RJ14GN5195SW</v>
      </c>
      <c r="F27" s="17">
        <f>VLOOKUP(E27,DISTANCE!$1:$1048576,2,0)</f>
        <v>0.28749999999999998</v>
      </c>
      <c r="G27" s="17">
        <f>VLOOKUP(E27,DISTANCE!$1:$1048576,3,0)</f>
        <v>0.61944444444444446</v>
      </c>
      <c r="H27" s="18">
        <f>VLOOKUP(E27,DISTANCE!$1:$1048576,4,0)</f>
        <v>0.33240740740740743</v>
      </c>
      <c r="I27" s="7">
        <f>VLOOKUP(E27,DISTANCE!$1:$1048576,5,0)</f>
        <v>20.03</v>
      </c>
      <c r="J27" s="7">
        <f>VLOOKUP(E27,DISTANCE!$1:$1048576,6,0)</f>
        <v>2.5099999999999998</v>
      </c>
      <c r="K27" s="6" t="str">
        <f t="shared" si="0"/>
        <v/>
      </c>
    </row>
    <row r="28" spans="1:11" x14ac:dyDescent="0.25">
      <c r="A28" s="10" t="s">
        <v>575</v>
      </c>
      <c r="C28" s="6">
        <v>23</v>
      </c>
      <c r="D28" s="6" t="s">
        <v>377</v>
      </c>
      <c r="E28" s="6" t="str">
        <f>VLOOKUP(A28,COV!$1:$1048576,2,0)</f>
        <v>RJ14GN5966SW</v>
      </c>
      <c r="F28" s="17">
        <f>VLOOKUP(E28,DISTANCE!$1:$1048576,2,0)</f>
        <v>0</v>
      </c>
      <c r="G28" s="17">
        <f>VLOOKUP(E28,DISTANCE!$1:$1048576,3,0)</f>
        <v>0.66180555555555554</v>
      </c>
      <c r="H28" s="18">
        <f>VLOOKUP(E28,DISTANCE!$1:$1048576,4,0)</f>
        <v>0.6613310185185185</v>
      </c>
      <c r="I28" s="7">
        <f>VLOOKUP(E28,DISTANCE!$1:$1048576,5,0)</f>
        <v>26.38</v>
      </c>
      <c r="J28" s="7">
        <f>VLOOKUP(E28,DISTANCE!$1:$1048576,6,0)</f>
        <v>1.66</v>
      </c>
      <c r="K28" s="6" t="str">
        <f t="shared" si="0"/>
        <v/>
      </c>
    </row>
    <row r="29" spans="1:11" x14ac:dyDescent="0.25">
      <c r="A29" s="10" t="s">
        <v>574</v>
      </c>
      <c r="C29" s="6">
        <v>24</v>
      </c>
      <c r="D29" s="6" t="s">
        <v>378</v>
      </c>
      <c r="E29" s="6" t="str">
        <f>VLOOKUP(A29,COV!$1:$1048576,2,0)</f>
        <v>RJ14GN4977SW</v>
      </c>
      <c r="F29" s="17">
        <f>VLOOKUP(E29,DISTANCE!$1:$1048576,2,0)</f>
        <v>0.28749999999999998</v>
      </c>
      <c r="G29" s="17">
        <f>VLOOKUP(E29,DISTANCE!$1:$1048576,3,0)</f>
        <v>0.61944444444444446</v>
      </c>
      <c r="H29" s="18">
        <f>VLOOKUP(E29,DISTANCE!$1:$1048576,4,0)</f>
        <v>0.33219907407407406</v>
      </c>
      <c r="I29" s="7">
        <f>VLOOKUP(E29,DISTANCE!$1:$1048576,5,0)</f>
        <v>16.25</v>
      </c>
      <c r="J29" s="7">
        <f>VLOOKUP(E29,DISTANCE!$1:$1048576,6,0)</f>
        <v>2.04</v>
      </c>
      <c r="K29" s="6" t="str">
        <f t="shared" si="0"/>
        <v/>
      </c>
    </row>
    <row r="30" spans="1:11" x14ac:dyDescent="0.25">
      <c r="A30" s="10" t="s">
        <v>573</v>
      </c>
      <c r="C30" s="6">
        <v>25</v>
      </c>
      <c r="D30" s="6" t="s">
        <v>379</v>
      </c>
      <c r="E30" s="6" t="str">
        <f>VLOOKUP(A30,COV!$1:$1048576,2,0)</f>
        <v>RJ14GN7668</v>
      </c>
      <c r="F30" s="17">
        <f>VLOOKUP(E30,DISTANCE!$1:$1048576,2,0)</f>
        <v>0.31527777777777777</v>
      </c>
      <c r="G30" s="17">
        <f>VLOOKUP(E30,DISTANCE!$1:$1048576,3,0)</f>
        <v>0.48680555555555555</v>
      </c>
      <c r="H30" s="18">
        <f>VLOOKUP(E30,DISTANCE!$1:$1048576,4,0)</f>
        <v>0.17200231481481482</v>
      </c>
      <c r="I30" s="7">
        <f>VLOOKUP(E30,DISTANCE!$1:$1048576,5,0)</f>
        <v>18.45</v>
      </c>
      <c r="J30" s="7">
        <f>VLOOKUP(E30,DISTANCE!$1:$1048576,6,0)</f>
        <v>4.47</v>
      </c>
      <c r="K30" s="6" t="str">
        <f t="shared" si="0"/>
        <v/>
      </c>
    </row>
    <row r="31" spans="1:11" x14ac:dyDescent="0.25">
      <c r="A31" s="10" t="s">
        <v>572</v>
      </c>
      <c r="C31" s="6">
        <v>26</v>
      </c>
      <c r="D31" s="6" t="s">
        <v>379</v>
      </c>
      <c r="E31" s="6" t="str">
        <f>VLOOKUP(A31,COV!$1:$1048576,2,0)</f>
        <v>RJ14GN6114SW</v>
      </c>
      <c r="F31" s="17">
        <f>VLOOKUP(E31,DISTANCE!$1:$1048576,2,0)</f>
        <v>0.27361111111111114</v>
      </c>
      <c r="G31" s="17">
        <f>VLOOKUP(E31,DISTANCE!$1:$1048576,3,0)</f>
        <v>0.46666666666666667</v>
      </c>
      <c r="H31" s="18">
        <f>VLOOKUP(E31,DISTANCE!$1:$1048576,4,0)</f>
        <v>0.19344907407407408</v>
      </c>
      <c r="I31" s="7">
        <f>VLOOKUP(E31,DISTANCE!$1:$1048576,5,0)</f>
        <v>31.19</v>
      </c>
      <c r="J31" s="7">
        <f>VLOOKUP(E31,DISTANCE!$1:$1048576,6,0)</f>
        <v>6.72</v>
      </c>
      <c r="K31" s="6" t="str">
        <f t="shared" si="0"/>
        <v/>
      </c>
    </row>
    <row r="32" spans="1:11" x14ac:dyDescent="0.25">
      <c r="A32" s="10" t="s">
        <v>571</v>
      </c>
      <c r="C32" s="6">
        <v>27</v>
      </c>
      <c r="D32" s="6" t="s">
        <v>380</v>
      </c>
      <c r="E32" s="6" t="str">
        <f>VLOOKUP(A32,COV!$1:$1048576,2,0)</f>
        <v>RJ14GN5190SW</v>
      </c>
      <c r="F32" s="17">
        <f>VLOOKUP(E32,DISTANCE!$1:$1048576,2,0)</f>
        <v>0.21944444444444444</v>
      </c>
      <c r="G32" s="17">
        <f>VLOOKUP(E32,DISTANCE!$1:$1048576,3,0)</f>
        <v>0.46944444444444444</v>
      </c>
      <c r="H32" s="18">
        <f>VLOOKUP(E32,DISTANCE!$1:$1048576,4,0)</f>
        <v>0.25010416666666668</v>
      </c>
      <c r="I32" s="7">
        <f>VLOOKUP(E32,DISTANCE!$1:$1048576,5,0)</f>
        <v>15.73</v>
      </c>
      <c r="J32" s="7">
        <f>VLOOKUP(E32,DISTANCE!$1:$1048576,6,0)</f>
        <v>2.62</v>
      </c>
      <c r="K32" s="6" t="str">
        <f t="shared" si="0"/>
        <v/>
      </c>
    </row>
    <row r="33" spans="1:11" x14ac:dyDescent="0.25">
      <c r="A33" s="10" t="s">
        <v>570</v>
      </c>
      <c r="C33" s="6">
        <v>28</v>
      </c>
      <c r="D33" s="6" t="s">
        <v>381</v>
      </c>
      <c r="E33" s="6" t="str">
        <f>VLOOKUP(A33,COV!$1:$1048576,2,0)</f>
        <v>RJ14GN5746SW</v>
      </c>
      <c r="F33" s="17">
        <f>VLOOKUP(E33,DISTANCE!$1:$1048576,2,0)</f>
        <v>0.28888888888888886</v>
      </c>
      <c r="G33" s="17">
        <f>VLOOKUP(E33,DISTANCE!$1:$1048576,3,0)</f>
        <v>0.45277777777777778</v>
      </c>
      <c r="H33" s="18">
        <f>VLOOKUP(E33,DISTANCE!$1:$1048576,4,0)</f>
        <v>0.1640625</v>
      </c>
      <c r="I33" s="7">
        <f>VLOOKUP(E33,DISTANCE!$1:$1048576,5,0)</f>
        <v>23.16</v>
      </c>
      <c r="J33" s="7">
        <f>VLOOKUP(E33,DISTANCE!$1:$1048576,6,0)</f>
        <v>5.88</v>
      </c>
      <c r="K33" s="6" t="str">
        <f t="shared" si="0"/>
        <v/>
      </c>
    </row>
    <row r="34" spans="1:11" x14ac:dyDescent="0.25">
      <c r="A34" s="10" t="s">
        <v>569</v>
      </c>
      <c r="C34" s="6">
        <v>29</v>
      </c>
      <c r="D34" s="6" t="s">
        <v>381</v>
      </c>
      <c r="E34" s="6" t="str">
        <f>VLOOKUP(A34,COV!$1:$1048576,2,0)</f>
        <v>RJ14GQ5286SW</v>
      </c>
      <c r="F34" s="17">
        <f>VLOOKUP(E34,DISTANCE!$1:$1048576,2,0)</f>
        <v>0.2951388888888889</v>
      </c>
      <c r="G34" s="17">
        <f>VLOOKUP(E34,DISTANCE!$1:$1048576,3,0)</f>
        <v>0.53888888888888886</v>
      </c>
      <c r="H34" s="18">
        <f>VLOOKUP(E34,DISTANCE!$1:$1048576,4,0)</f>
        <v>0.24435185185185185</v>
      </c>
      <c r="I34" s="7">
        <f>VLOOKUP(E34,DISTANCE!$1:$1048576,5,0)</f>
        <v>43.4</v>
      </c>
      <c r="J34" s="7">
        <f>VLOOKUP(E34,DISTANCE!$1:$1048576,6,0)</f>
        <v>7.4</v>
      </c>
      <c r="K34" s="6" t="str">
        <f t="shared" si="0"/>
        <v/>
      </c>
    </row>
    <row r="35" spans="1:11" x14ac:dyDescent="0.25">
      <c r="A35" s="10" t="s">
        <v>568</v>
      </c>
      <c r="C35" s="6">
        <v>30</v>
      </c>
      <c r="D35" s="6" t="s">
        <v>382</v>
      </c>
      <c r="E35" s="6" t="str">
        <f>VLOOKUP(A35,COV!$1:$1048576,2,0)</f>
        <v>RJ14GQ5293SW</v>
      </c>
      <c r="F35" s="17">
        <f>VLOOKUP(E35,DISTANCE!$1:$1048576,2,0)</f>
        <v>0.29930555555555555</v>
      </c>
      <c r="G35" s="17">
        <f>VLOOKUP(E35,DISTANCE!$1:$1048576,3,0)</f>
        <v>0.49166666666666664</v>
      </c>
      <c r="H35" s="18">
        <f>VLOOKUP(E35,DISTANCE!$1:$1048576,4,0)</f>
        <v>0.19262731481481482</v>
      </c>
      <c r="I35" s="7">
        <f>VLOOKUP(E35,DISTANCE!$1:$1048576,5,0)</f>
        <v>20.100000000000001</v>
      </c>
      <c r="J35" s="7">
        <f>VLOOKUP(E35,DISTANCE!$1:$1048576,6,0)</f>
        <v>4.3499999999999996</v>
      </c>
      <c r="K35" s="6" t="str">
        <f t="shared" si="0"/>
        <v/>
      </c>
    </row>
    <row r="36" spans="1:11" x14ac:dyDescent="0.25">
      <c r="A36" s="10" t="s">
        <v>567</v>
      </c>
      <c r="C36" s="6">
        <v>31</v>
      </c>
      <c r="D36" s="6" t="s">
        <v>382</v>
      </c>
      <c r="E36" s="6" t="str">
        <f>VLOOKUP(A36,COV!$1:$1048576,2,0)</f>
        <v>RJ14GQ5299SW</v>
      </c>
      <c r="F36" s="17">
        <f>VLOOKUP(E36,DISTANCE!$1:$1048576,2,0)</f>
        <v>0.24722222222222223</v>
      </c>
      <c r="G36" s="17">
        <f>VLOOKUP(E36,DISTANCE!$1:$1048576,3,0)</f>
        <v>0.45347222222222222</v>
      </c>
      <c r="H36" s="18">
        <f>VLOOKUP(E36,DISTANCE!$1:$1048576,4,0)</f>
        <v>0.20658564814814814</v>
      </c>
      <c r="I36" s="7">
        <f>VLOOKUP(E36,DISTANCE!$1:$1048576,5,0)</f>
        <v>18.260000000000002</v>
      </c>
      <c r="J36" s="7">
        <f>VLOOKUP(E36,DISTANCE!$1:$1048576,6,0)</f>
        <v>3.68</v>
      </c>
      <c r="K36" s="6" t="str">
        <f t="shared" si="0"/>
        <v/>
      </c>
    </row>
    <row r="37" spans="1:11" x14ac:dyDescent="0.25">
      <c r="A37" s="10" t="s">
        <v>566</v>
      </c>
      <c r="C37" s="6">
        <v>32</v>
      </c>
      <c r="D37" s="6" t="s">
        <v>383</v>
      </c>
      <c r="E37" s="6" t="str">
        <f>VLOOKUP(A37,COV!$1:$1048576,2,0)</f>
        <v>RJ14GQ5301</v>
      </c>
      <c r="F37" s="17">
        <f>VLOOKUP(E37,DISTANCE!$1:$1048576,2,0)</f>
        <v>0.30069444444444443</v>
      </c>
      <c r="G37" s="17">
        <f>VLOOKUP(E37,DISTANCE!$1:$1048576,3,0)</f>
        <v>0.65763888888888888</v>
      </c>
      <c r="H37" s="18">
        <f>VLOOKUP(E37,DISTANCE!$1:$1048576,4,0)</f>
        <v>0.35692129629629632</v>
      </c>
      <c r="I37" s="7">
        <f>VLOOKUP(E37,DISTANCE!$1:$1048576,5,0)</f>
        <v>30.94</v>
      </c>
      <c r="J37" s="7">
        <f>VLOOKUP(E37,DISTANCE!$1:$1048576,6,0)</f>
        <v>3.61</v>
      </c>
      <c r="K37" s="6" t="str">
        <f t="shared" si="0"/>
        <v/>
      </c>
    </row>
    <row r="38" spans="1:11" x14ac:dyDescent="0.25">
      <c r="A38" s="10" t="s">
        <v>565</v>
      </c>
      <c r="C38" s="6">
        <v>33</v>
      </c>
      <c r="D38" s="6" t="s">
        <v>384</v>
      </c>
      <c r="E38" s="6" t="str">
        <f>VLOOKUP(A38,COV!$1:$1048576,2,0)</f>
        <v>RJ14GQ5297DB</v>
      </c>
      <c r="F38" s="17">
        <f>VLOOKUP(E38,DISTANCE!$1:$1048576,2,0)</f>
        <v>0.30972222222222223</v>
      </c>
      <c r="G38" s="17">
        <f>VLOOKUP(E38,DISTANCE!$1:$1048576,3,0)</f>
        <v>0.57222222222222219</v>
      </c>
      <c r="H38" s="18">
        <f>VLOOKUP(E38,DISTANCE!$1:$1048576,4,0)</f>
        <v>0.26277777777777778</v>
      </c>
      <c r="I38" s="7">
        <f>VLOOKUP(E38,DISTANCE!$1:$1048576,5,0)</f>
        <v>33.340000000000003</v>
      </c>
      <c r="J38" s="7">
        <f>VLOOKUP(E38,DISTANCE!$1:$1048576,6,0)</f>
        <v>5.29</v>
      </c>
      <c r="K38" s="6" t="str">
        <f t="shared" si="0"/>
        <v/>
      </c>
    </row>
    <row r="39" spans="1:11" x14ac:dyDescent="0.25">
      <c r="A39" s="10" t="s">
        <v>564</v>
      </c>
      <c r="C39" s="6">
        <v>34</v>
      </c>
      <c r="D39" s="6" t="s">
        <v>384</v>
      </c>
      <c r="E39" s="6" t="str">
        <f>VLOOKUP(A39,COV!$1:$1048576,2,0)</f>
        <v>RJ14GN5736SW</v>
      </c>
      <c r="F39" s="17">
        <f>VLOOKUP(E39,DISTANCE!$1:$1048576,2,0)</f>
        <v>0.31527777777777777</v>
      </c>
      <c r="G39" s="17">
        <f>VLOOKUP(E39,DISTANCE!$1:$1048576,3,0)</f>
        <v>0.44097222222222221</v>
      </c>
      <c r="H39" s="18">
        <f>VLOOKUP(E39,DISTANCE!$1:$1048576,4,0)</f>
        <v>0.12560185185185185</v>
      </c>
      <c r="I39" s="7">
        <f>VLOOKUP(E39,DISTANCE!$1:$1048576,5,0)</f>
        <v>9.5299999999999994</v>
      </c>
      <c r="J39" s="7">
        <f>VLOOKUP(E39,DISTANCE!$1:$1048576,6,0)</f>
        <v>3.16</v>
      </c>
      <c r="K39" s="6" t="str">
        <f t="shared" si="0"/>
        <v/>
      </c>
    </row>
    <row r="40" spans="1:11" x14ac:dyDescent="0.25">
      <c r="A40" s="10" t="s">
        <v>563</v>
      </c>
      <c r="C40" s="6">
        <v>35</v>
      </c>
      <c r="D40" s="6" t="s">
        <v>385</v>
      </c>
      <c r="E40" s="6" t="str">
        <f>VLOOKUP(A40,COV!$1:$1048576,2,0)</f>
        <v>RJ14GN5205SW</v>
      </c>
      <c r="F40" s="17">
        <f>VLOOKUP(E40,DISTANCE!$1:$1048576,2,0)</f>
        <v>0.3125</v>
      </c>
      <c r="G40" s="17">
        <f>VLOOKUP(E40,DISTANCE!$1:$1048576,3,0)</f>
        <v>0.63194444444444442</v>
      </c>
      <c r="H40" s="18">
        <f>VLOOKUP(E40,DISTANCE!$1:$1048576,4,0)</f>
        <v>0.31981481481481483</v>
      </c>
      <c r="I40" s="7">
        <f>VLOOKUP(E40,DISTANCE!$1:$1048576,5,0)</f>
        <v>53.68</v>
      </c>
      <c r="J40" s="7">
        <f>VLOOKUP(E40,DISTANCE!$1:$1048576,6,0)</f>
        <v>6.99</v>
      </c>
      <c r="K40" s="6" t="str">
        <f t="shared" si="0"/>
        <v/>
      </c>
    </row>
    <row r="41" spans="1:11" x14ac:dyDescent="0.25">
      <c r="A41" s="10" t="s">
        <v>562</v>
      </c>
      <c r="C41" s="6">
        <v>36</v>
      </c>
      <c r="D41" s="6" t="s">
        <v>385</v>
      </c>
      <c r="E41" s="6" t="str">
        <f>VLOOKUP(A41,COV!$1:$1048576,2,0)</f>
        <v>RJ14GQ5278SW</v>
      </c>
      <c r="F41" s="17">
        <f>VLOOKUP(E41,DISTANCE!$1:$1048576,2,0)</f>
        <v>0.33819444444444446</v>
      </c>
      <c r="G41" s="17">
        <f>VLOOKUP(E41,DISTANCE!$1:$1048576,3,0)</f>
        <v>0.65694444444444444</v>
      </c>
      <c r="H41" s="18">
        <f>VLOOKUP(E41,DISTANCE!$1:$1048576,4,0)</f>
        <v>0.31863425925925926</v>
      </c>
      <c r="I41" s="7">
        <f>VLOOKUP(E41,DISTANCE!$1:$1048576,5,0)</f>
        <v>31.61</v>
      </c>
      <c r="J41" s="7">
        <f>VLOOKUP(E41,DISTANCE!$1:$1048576,6,0)</f>
        <v>4.13</v>
      </c>
      <c r="K41" s="6" t="str">
        <f t="shared" si="0"/>
        <v/>
      </c>
    </row>
    <row r="42" spans="1:11" x14ac:dyDescent="0.25">
      <c r="A42" s="10" t="s">
        <v>561</v>
      </c>
      <c r="C42" s="6">
        <v>37</v>
      </c>
      <c r="D42" s="6" t="s">
        <v>386</v>
      </c>
      <c r="E42" s="6" t="str">
        <f>VLOOKUP(A42,COV!$1:$1048576,2,0)</f>
        <v>RJ14GQ5292SW</v>
      </c>
      <c r="F42" s="17">
        <f>VLOOKUP(E42,DISTANCE!$1:$1048576,2,0)</f>
        <v>0.2902777777777778</v>
      </c>
      <c r="G42" s="17">
        <f>VLOOKUP(E42,DISTANCE!$1:$1048576,3,0)</f>
        <v>0.60555555555555551</v>
      </c>
      <c r="H42" s="18">
        <f>VLOOKUP(E42,DISTANCE!$1:$1048576,4,0)</f>
        <v>0.31535879629629632</v>
      </c>
      <c r="I42" s="7">
        <f>VLOOKUP(E42,DISTANCE!$1:$1048576,5,0)</f>
        <v>20.56</v>
      </c>
      <c r="J42" s="7">
        <f>VLOOKUP(E42,DISTANCE!$1:$1048576,6,0)</f>
        <v>2.72</v>
      </c>
      <c r="K42" s="6" t="str">
        <f t="shared" si="0"/>
        <v/>
      </c>
    </row>
    <row r="43" spans="1:11" x14ac:dyDescent="0.25">
      <c r="A43" s="10" t="s">
        <v>560</v>
      </c>
      <c r="C43" s="6">
        <v>38</v>
      </c>
      <c r="D43" s="6" t="s">
        <v>386</v>
      </c>
      <c r="E43" s="6" t="str">
        <f>VLOOKUP(A43,COV!$1:$1048576,2,0)</f>
        <v>RJ14GQ5302SW</v>
      </c>
      <c r="F43" s="17">
        <f>VLOOKUP(E43,DISTANCE!$1:$1048576,2,0)</f>
        <v>0.30486111111111114</v>
      </c>
      <c r="G43" s="17">
        <f>VLOOKUP(E43,DISTANCE!$1:$1048576,3,0)</f>
        <v>0.50555555555555554</v>
      </c>
      <c r="H43" s="18">
        <f>VLOOKUP(E43,DISTANCE!$1:$1048576,4,0)</f>
        <v>0.20079861111111111</v>
      </c>
      <c r="I43" s="7">
        <f>VLOOKUP(E43,DISTANCE!$1:$1048576,5,0)</f>
        <v>26.66</v>
      </c>
      <c r="J43" s="7">
        <f>VLOOKUP(E43,DISTANCE!$1:$1048576,6,0)</f>
        <v>5.53</v>
      </c>
      <c r="K43" s="6" t="str">
        <f t="shared" ref="K43:K47" si="4">IF(I43&lt;8,"NOT WORKED","")</f>
        <v/>
      </c>
    </row>
    <row r="44" spans="1:11" x14ac:dyDescent="0.25">
      <c r="A44" s="10" t="s">
        <v>559</v>
      </c>
      <c r="C44" s="6">
        <v>39</v>
      </c>
      <c r="D44" s="6" t="s">
        <v>388</v>
      </c>
      <c r="E44" s="6" t="str">
        <f>VLOOKUP(A44,COV!$1:$1048576,2,0)</f>
        <v>RJ14GN8479SW</v>
      </c>
      <c r="F44" s="17">
        <f>VLOOKUP(E44,DISTANCE!$1:$1048576,2,0)</f>
        <v>0.32500000000000001</v>
      </c>
      <c r="G44" s="17">
        <f>VLOOKUP(E44,DISTANCE!$1:$1048576,3,0)</f>
        <v>0.52916666666666667</v>
      </c>
      <c r="H44" s="18">
        <f>VLOOKUP(E44,DISTANCE!$1:$1048576,4,0)</f>
        <v>0.20391203703703703</v>
      </c>
      <c r="I44" s="7">
        <f>VLOOKUP(E44,DISTANCE!$1:$1048576,5,0)</f>
        <v>22.79</v>
      </c>
      <c r="J44" s="7">
        <f>VLOOKUP(E44,DISTANCE!$1:$1048576,6,0)</f>
        <v>4.66</v>
      </c>
      <c r="K44" s="6" t="str">
        <f t="shared" si="4"/>
        <v/>
      </c>
    </row>
    <row r="45" spans="1:11" x14ac:dyDescent="0.25">
      <c r="A45" s="10" t="s">
        <v>558</v>
      </c>
      <c r="C45" s="6">
        <v>40</v>
      </c>
      <c r="D45" s="6" t="s">
        <v>389</v>
      </c>
      <c r="E45" s="6" t="str">
        <f>VLOOKUP(A45,COV!$1:$1048576,2,0)</f>
        <v>RJ14GN4982SW</v>
      </c>
      <c r="F45" s="17">
        <f>VLOOKUP(E45,DISTANCE!$1:$1048576,2,0)</f>
        <v>0.29097222222222224</v>
      </c>
      <c r="G45" s="17">
        <f>VLOOKUP(E45,DISTANCE!$1:$1048576,3,0)</f>
        <v>0.51111111111111107</v>
      </c>
      <c r="H45" s="18">
        <f>VLOOKUP(E45,DISTANCE!$1:$1048576,4,0)</f>
        <v>0.22031249999999999</v>
      </c>
      <c r="I45" s="7">
        <f>VLOOKUP(E45,DISTANCE!$1:$1048576,5,0)</f>
        <v>25.99</v>
      </c>
      <c r="J45" s="7">
        <f>VLOOKUP(E45,DISTANCE!$1:$1048576,6,0)</f>
        <v>4.92</v>
      </c>
      <c r="K45" s="6" t="str">
        <f t="shared" si="4"/>
        <v/>
      </c>
    </row>
    <row r="46" spans="1:11" x14ac:dyDescent="0.25">
      <c r="A46" s="10" t="s">
        <v>557</v>
      </c>
      <c r="C46" s="6">
        <v>41</v>
      </c>
      <c r="D46" s="6" t="s">
        <v>390</v>
      </c>
      <c r="E46" s="6" t="str">
        <f>VLOOKUP(A46,COV!$1:$1048576,2,0)</f>
        <v>RJ14GQ5287SW</v>
      </c>
      <c r="F46" s="17">
        <f>VLOOKUP(E46,DISTANCE!$1:$1048576,2,0)</f>
        <v>0.30625000000000002</v>
      </c>
      <c r="G46" s="17">
        <f>VLOOKUP(E46,DISTANCE!$1:$1048576,3,0)</f>
        <v>0.48055555555555557</v>
      </c>
      <c r="H46" s="18">
        <f>VLOOKUP(E46,DISTANCE!$1:$1048576,4,0)</f>
        <v>0.1741550925925926</v>
      </c>
      <c r="I46" s="7">
        <f>VLOOKUP(E46,DISTANCE!$1:$1048576,5,0)</f>
        <v>28.49</v>
      </c>
      <c r="J46" s="7">
        <f>VLOOKUP(E46,DISTANCE!$1:$1048576,6,0)</f>
        <v>6.82</v>
      </c>
      <c r="K46" s="6" t="str">
        <f t="shared" si="4"/>
        <v/>
      </c>
    </row>
    <row r="47" spans="1:11" x14ac:dyDescent="0.25">
      <c r="A47" s="10" t="s">
        <v>556</v>
      </c>
      <c r="C47" s="6">
        <v>42</v>
      </c>
      <c r="D47" s="6" t="s">
        <v>390</v>
      </c>
      <c r="E47" s="6" t="str">
        <f>VLOOKUP(A47,COV!$1:$1048576,2,0)</f>
        <v>RJ14GN4980SW</v>
      </c>
      <c r="F47" s="17">
        <f>VLOOKUP(E47,DISTANCE!$1:$1048576,2,0)</f>
        <v>0.31736111111111109</v>
      </c>
      <c r="G47" s="17">
        <f>VLOOKUP(E47,DISTANCE!$1:$1048576,3,0)</f>
        <v>0.48958333333333331</v>
      </c>
      <c r="H47" s="18">
        <f>VLOOKUP(E47,DISTANCE!$1:$1048576,4,0)</f>
        <v>0.17185185185185184</v>
      </c>
      <c r="I47" s="7">
        <f>VLOOKUP(E47,DISTANCE!$1:$1048576,5,0)</f>
        <v>19.579999999999998</v>
      </c>
      <c r="J47" s="7">
        <f>VLOOKUP(E47,DISTANCE!$1:$1048576,6,0)</f>
        <v>4.75</v>
      </c>
      <c r="K47" s="6" t="str">
        <f t="shared" si="4"/>
        <v/>
      </c>
    </row>
    <row r="48" spans="1:11" x14ac:dyDescent="0.25">
      <c r="A48" s="10" t="s">
        <v>555</v>
      </c>
      <c r="C48" s="6">
        <v>43</v>
      </c>
      <c r="D48" s="6" t="s">
        <v>391</v>
      </c>
      <c r="E48" s="6" t="str">
        <f>VLOOKUP(A48,COV!$1:$1048576,2,0)</f>
        <v>RJ14GN5967SW</v>
      </c>
      <c r="F48" s="53" t="s">
        <v>1263</v>
      </c>
      <c r="G48" s="54"/>
      <c r="H48" s="54"/>
      <c r="I48" s="54"/>
      <c r="J48" s="54"/>
      <c r="K48" s="55"/>
    </row>
    <row r="49" spans="1:11" x14ac:dyDescent="0.25">
      <c r="A49" s="10" t="s">
        <v>554</v>
      </c>
      <c r="C49" s="6">
        <v>44</v>
      </c>
      <c r="D49" s="6" t="s">
        <v>392</v>
      </c>
      <c r="E49" s="6" t="str">
        <f>VLOOKUP(A49,COV!$1:$1048576,2,0)</f>
        <v>RJ14GN5202SW</v>
      </c>
      <c r="F49" s="17">
        <f>VLOOKUP(E49,DISTANCE!$1:$1048576,2,0)</f>
        <v>0.30972222222222223</v>
      </c>
      <c r="G49" s="17">
        <f>VLOOKUP(E49,DISTANCE!$1:$1048576,3,0)</f>
        <v>0.51111111111111107</v>
      </c>
      <c r="H49" s="18">
        <f>VLOOKUP(E49,DISTANCE!$1:$1048576,4,0)</f>
        <v>0.20170138888888889</v>
      </c>
      <c r="I49" s="7">
        <f>VLOOKUP(E49,DISTANCE!$1:$1048576,5,0)</f>
        <v>13.26</v>
      </c>
      <c r="J49" s="7">
        <f>VLOOKUP(E49,DISTANCE!$1:$1048576,6,0)</f>
        <v>2.74</v>
      </c>
      <c r="K49" s="6" t="str">
        <f t="shared" ref="K49" si="5">IF(I49&lt;8,"NOT WORKED","")</f>
        <v/>
      </c>
    </row>
    <row r="50" spans="1:11" x14ac:dyDescent="0.25">
      <c r="A50" s="10" t="s">
        <v>553</v>
      </c>
      <c r="C50" s="6">
        <v>45</v>
      </c>
      <c r="D50" s="6" t="s">
        <v>393</v>
      </c>
      <c r="E50" s="6" t="str">
        <f>VLOOKUP(A50,COV!$1:$1048576,2,0)</f>
        <v>RJ14GQ5272SW</v>
      </c>
      <c r="F50" s="17">
        <f>VLOOKUP(E50,DISTANCE!$1:$1048576,2,0)</f>
        <v>9.7222222222222224E-2</v>
      </c>
      <c r="G50" s="17">
        <f>VLOOKUP(E50,DISTANCE!$1:$1048576,3,0)</f>
        <v>0.58333333333333337</v>
      </c>
      <c r="H50" s="18">
        <f>VLOOKUP(E50,DISTANCE!$1:$1048576,4,0)</f>
        <v>0.48600694444444442</v>
      </c>
      <c r="I50" s="7">
        <f>VLOOKUP(E50,DISTANCE!$1:$1048576,5,0)</f>
        <v>38.29</v>
      </c>
      <c r="J50" s="7">
        <f>VLOOKUP(E50,DISTANCE!$1:$1048576,6,0)</f>
        <v>3.28</v>
      </c>
      <c r="K50" s="6" t="str">
        <f t="shared" ref="K50" si="6">IF(I50&lt;8,"NOT WORKED","")</f>
        <v/>
      </c>
    </row>
    <row r="51" spans="1:11" x14ac:dyDescent="0.25">
      <c r="C51" s="48" t="s">
        <v>144</v>
      </c>
      <c r="D51" s="48"/>
      <c r="E51" s="48"/>
      <c r="F51" s="48"/>
      <c r="G51" s="48"/>
      <c r="H51" s="48"/>
      <c r="I51" s="15">
        <f>AVERAGE(I6:I50)</f>
        <v>25.817272727272723</v>
      </c>
      <c r="J51" s="15">
        <f>AVERAGE(J6:J50)</f>
        <v>4.6225000000000005</v>
      </c>
      <c r="K51" s="3"/>
    </row>
    <row r="52" spans="1:11" x14ac:dyDescent="0.25">
      <c r="C52" s="58"/>
      <c r="D52" s="59"/>
      <c r="E52" s="59"/>
      <c r="F52" s="59"/>
      <c r="G52" s="59"/>
      <c r="H52" s="59"/>
      <c r="I52" s="59"/>
      <c r="J52" s="59"/>
      <c r="K52" s="60"/>
    </row>
    <row r="53" spans="1:11" x14ac:dyDescent="0.25">
      <c r="C53" s="56" t="s">
        <v>335</v>
      </c>
      <c r="D53" s="56"/>
      <c r="E53" s="56"/>
      <c r="F53" s="56"/>
      <c r="G53" s="56"/>
      <c r="H53" s="56"/>
      <c r="I53" s="56"/>
      <c r="J53" s="56"/>
      <c r="K53" s="56"/>
    </row>
    <row r="54" spans="1:11" x14ac:dyDescent="0.25">
      <c r="C54" s="56" t="s">
        <v>548</v>
      </c>
      <c r="D54" s="56"/>
      <c r="E54" s="56"/>
      <c r="F54" s="56"/>
      <c r="G54" s="56"/>
      <c r="H54" s="56"/>
      <c r="I54" s="56"/>
      <c r="J54" s="56"/>
      <c r="K54" s="56"/>
    </row>
    <row r="55" spans="1:11" x14ac:dyDescent="0.25">
      <c r="C55" s="57">
        <f ca="1">TODAY()</f>
        <v>46178</v>
      </c>
      <c r="D55" s="57"/>
      <c r="E55" s="57"/>
      <c r="F55" s="57"/>
      <c r="G55" s="57"/>
      <c r="H55" s="57"/>
      <c r="I55" s="57"/>
      <c r="J55" s="57"/>
      <c r="K55" s="57"/>
    </row>
    <row r="56" spans="1:11" x14ac:dyDescent="0.25">
      <c r="C56" s="16" t="s">
        <v>142</v>
      </c>
      <c r="D56" s="16" t="s">
        <v>0</v>
      </c>
      <c r="E56" s="16" t="s">
        <v>139</v>
      </c>
      <c r="F56" s="16" t="s">
        <v>1</v>
      </c>
      <c r="G56" s="16" t="s">
        <v>2</v>
      </c>
      <c r="H56" s="16" t="s">
        <v>3</v>
      </c>
      <c r="I56" s="16" t="s">
        <v>4</v>
      </c>
      <c r="J56" s="16" t="s">
        <v>5</v>
      </c>
      <c r="K56" s="16" t="s">
        <v>143</v>
      </c>
    </row>
    <row r="57" spans="1:11" x14ac:dyDescent="0.25">
      <c r="A57" s="10" t="s">
        <v>631</v>
      </c>
      <c r="C57" s="6">
        <v>1</v>
      </c>
      <c r="D57" s="6" t="s">
        <v>338</v>
      </c>
      <c r="E57" s="6" t="str">
        <f>VLOOKUP(A57,COV!$1:$1048576,2,0)</f>
        <v>RJ14GT8837SW</v>
      </c>
      <c r="F57" s="17">
        <f>VLOOKUP(E57,DISTANCE!$1:$1048576,2,0)</f>
        <v>0.28611111111111109</v>
      </c>
      <c r="G57" s="17">
        <f>VLOOKUP(E57,DISTANCE!$1:$1048576,3,0)</f>
        <v>0.5</v>
      </c>
      <c r="H57" s="18">
        <f>VLOOKUP(E57,DISTANCE!$1:$1048576,4,0)</f>
        <v>0.21362268518518518</v>
      </c>
      <c r="I57" s="7">
        <f>VLOOKUP(E57,DISTANCE!$1:$1048576,5,0)</f>
        <v>9.8000000000000007</v>
      </c>
      <c r="J57" s="7">
        <f>VLOOKUP(E57,DISTANCE!$1:$1048576,6,0)</f>
        <v>1.91</v>
      </c>
      <c r="K57" s="6" t="str">
        <f t="shared" ref="K57" si="7">IF(I57&lt;8,"NOT WORKED","")</f>
        <v/>
      </c>
    </row>
    <row r="58" spans="1:11" x14ac:dyDescent="0.25">
      <c r="A58" s="10" t="s">
        <v>630</v>
      </c>
      <c r="C58" s="6">
        <v>2</v>
      </c>
      <c r="D58" s="6" t="s">
        <v>339</v>
      </c>
      <c r="E58" s="6" t="str">
        <f>VLOOKUP(A58,COV!$1:$1048576,2,0)</f>
        <v>RJ14GT8839SW</v>
      </c>
      <c r="F58" s="17">
        <f>VLOOKUP(E58,DISTANCE!$1:$1048576,2,0)</f>
        <v>0.32291666666666669</v>
      </c>
      <c r="G58" s="17">
        <f>VLOOKUP(E58,DISTANCE!$1:$1048576,3,0)</f>
        <v>0.46458333333333335</v>
      </c>
      <c r="H58" s="18">
        <f>VLOOKUP(E58,DISTANCE!$1:$1048576,4,0)</f>
        <v>0.14131944444444444</v>
      </c>
      <c r="I58" s="7">
        <f>VLOOKUP(E58,DISTANCE!$1:$1048576,5,0)</f>
        <v>12.63</v>
      </c>
      <c r="J58" s="7">
        <f>VLOOKUP(E58,DISTANCE!$1:$1048576,6,0)</f>
        <v>3.72</v>
      </c>
      <c r="K58" s="6" t="str">
        <f t="shared" ref="K58" si="8">IF(I58&lt;8,"NOT WORKED","")</f>
        <v/>
      </c>
    </row>
    <row r="59" spans="1:11" x14ac:dyDescent="0.25">
      <c r="A59" s="10" t="s">
        <v>629</v>
      </c>
      <c r="C59" s="6">
        <v>3</v>
      </c>
      <c r="D59" s="6" t="s">
        <v>340</v>
      </c>
      <c r="E59" s="6" t="str">
        <f>VLOOKUP(A59,COV!$1:$1048576,2,0)</f>
        <v>RJ14GT8239SW</v>
      </c>
      <c r="F59" s="53" t="s">
        <v>757</v>
      </c>
      <c r="G59" s="54"/>
      <c r="H59" s="54"/>
      <c r="I59" s="54"/>
      <c r="J59" s="54"/>
      <c r="K59" s="55"/>
    </row>
    <row r="60" spans="1:11" x14ac:dyDescent="0.25">
      <c r="A60" s="10" t="s">
        <v>628</v>
      </c>
      <c r="C60" s="6">
        <v>4</v>
      </c>
      <c r="D60" s="6" t="s">
        <v>341</v>
      </c>
      <c r="E60" s="6" t="str">
        <f>VLOOKUP(A60,COV!$1:$1048576,2,0)</f>
        <v>RJ14GT8286SW</v>
      </c>
      <c r="F60" s="17">
        <f>VLOOKUP(E60,DISTANCE!$1:$1048576,2,0)</f>
        <v>0.27638888888888891</v>
      </c>
      <c r="G60" s="17">
        <f>VLOOKUP(E60,DISTANCE!$1:$1048576,3,0)</f>
        <v>0.59791666666666665</v>
      </c>
      <c r="H60" s="18">
        <f>VLOOKUP(E60,DISTANCE!$1:$1048576,4,0)</f>
        <v>0.32175925925925924</v>
      </c>
      <c r="I60" s="7">
        <f>VLOOKUP(E60,DISTANCE!$1:$1048576,5,0)</f>
        <v>34.21</v>
      </c>
      <c r="J60" s="7">
        <f>VLOOKUP(E60,DISTANCE!$1:$1048576,6,0)</f>
        <v>4.43</v>
      </c>
      <c r="K60" s="6" t="str">
        <f t="shared" ref="K60:K89" si="9">IF(I60&lt;8,"NOT WORKED","")</f>
        <v/>
      </c>
    </row>
    <row r="61" spans="1:11" x14ac:dyDescent="0.25">
      <c r="A61" s="10" t="s">
        <v>627</v>
      </c>
      <c r="C61" s="6">
        <v>5</v>
      </c>
      <c r="D61" s="6" t="s">
        <v>342</v>
      </c>
      <c r="E61" s="6" t="str">
        <f>VLOOKUP(A61,COV!$1:$1048576,2,0)</f>
        <v>SVE16701SW</v>
      </c>
      <c r="F61" s="17">
        <f>VLOOKUP(E61,DISTANCE!$1:$1048576,2,0)</f>
        <v>0.30625000000000002</v>
      </c>
      <c r="G61" s="17">
        <f>VLOOKUP(E61,DISTANCE!$1:$1048576,3,0)</f>
        <v>0.61388888888888893</v>
      </c>
      <c r="H61" s="18">
        <f>VLOOKUP(E61,DISTANCE!$1:$1048576,4,0)</f>
        <v>0.30781249999999999</v>
      </c>
      <c r="I61" s="7">
        <f>VLOOKUP(E61,DISTANCE!$1:$1048576,5,0)</f>
        <v>21.42</v>
      </c>
      <c r="J61" s="7">
        <f>VLOOKUP(E61,DISTANCE!$1:$1048576,6,0)</f>
        <v>2.9</v>
      </c>
      <c r="K61" s="6" t="str">
        <f t="shared" si="9"/>
        <v/>
      </c>
    </row>
    <row r="62" spans="1:11" x14ac:dyDescent="0.25">
      <c r="A62" s="10" t="s">
        <v>626</v>
      </c>
      <c r="C62" s="6">
        <v>6</v>
      </c>
      <c r="D62" s="6" t="s">
        <v>342</v>
      </c>
      <c r="E62" s="6" t="str">
        <f>VLOOKUP(A62,COV!$1:$1048576,2,0)</f>
        <v>RJ14GT8907SW</v>
      </c>
      <c r="F62" s="17">
        <f>VLOOKUP(E62,DISTANCE!$1:$1048576,2,0)</f>
        <v>0.31458333333333333</v>
      </c>
      <c r="G62" s="17">
        <f>VLOOKUP(E62,DISTANCE!$1:$1048576,3,0)</f>
        <v>0.56944444444444442</v>
      </c>
      <c r="H62" s="18">
        <f>VLOOKUP(E62,DISTANCE!$1:$1048576,4,0)</f>
        <v>0.25545138888888891</v>
      </c>
      <c r="I62" s="7">
        <f>VLOOKUP(E62,DISTANCE!$1:$1048576,5,0)</f>
        <v>26.13</v>
      </c>
      <c r="J62" s="7">
        <f>VLOOKUP(E62,DISTANCE!$1:$1048576,6,0)</f>
        <v>4.26</v>
      </c>
      <c r="K62" s="6" t="str">
        <f t="shared" si="9"/>
        <v/>
      </c>
    </row>
    <row r="63" spans="1:11" x14ac:dyDescent="0.25">
      <c r="A63" s="10" t="s">
        <v>625</v>
      </c>
      <c r="C63" s="6">
        <v>7</v>
      </c>
      <c r="D63" s="6" t="s">
        <v>343</v>
      </c>
      <c r="E63" s="6" t="str">
        <f>VLOOKUP(A63,COV!$1:$1048576,2,0)</f>
        <v>RJ14GT8937SW</v>
      </c>
      <c r="F63" s="17">
        <f>VLOOKUP(E63,DISTANCE!$1:$1048576,2,0)</f>
        <v>0.28680555555555554</v>
      </c>
      <c r="G63" s="17">
        <f>VLOOKUP(E63,DISTANCE!$1:$1048576,3,0)</f>
        <v>0.52569444444444446</v>
      </c>
      <c r="H63" s="18">
        <f>VLOOKUP(E63,DISTANCE!$1:$1048576,4,0)</f>
        <v>0.23883101851851851</v>
      </c>
      <c r="I63" s="7">
        <f>VLOOKUP(E63,DISTANCE!$1:$1048576,5,0)</f>
        <v>23.63</v>
      </c>
      <c r="J63" s="7">
        <f>VLOOKUP(E63,DISTANCE!$1:$1048576,6,0)</f>
        <v>4.12</v>
      </c>
      <c r="K63" s="6" t="str">
        <f t="shared" si="9"/>
        <v/>
      </c>
    </row>
    <row r="64" spans="1:11" x14ac:dyDescent="0.25">
      <c r="A64" s="10" t="s">
        <v>624</v>
      </c>
      <c r="C64" s="6">
        <v>8</v>
      </c>
      <c r="D64" s="6" t="s">
        <v>343</v>
      </c>
      <c r="E64" s="6" t="str">
        <f>VLOOKUP(A64,COV!$1:$1048576,2,0)</f>
        <v>RJ14GT8847SW</v>
      </c>
      <c r="F64" s="86" t="s">
        <v>758</v>
      </c>
      <c r="G64" s="87"/>
      <c r="H64" s="87"/>
      <c r="I64" s="87"/>
      <c r="J64" s="87"/>
      <c r="K64" s="88"/>
    </row>
    <row r="65" spans="1:11" x14ac:dyDescent="0.25">
      <c r="A65" s="10" t="s">
        <v>623</v>
      </c>
      <c r="C65" s="6">
        <v>9</v>
      </c>
      <c r="D65" s="6" t="s">
        <v>344</v>
      </c>
      <c r="E65" s="6" t="str">
        <f>VLOOKUP(A65,COV!$1:$1048576,2,0)</f>
        <v>RJ14GT7542SW</v>
      </c>
      <c r="F65" s="17">
        <f>VLOOKUP(E65,DISTANCE!$1:$1048576,2,0)</f>
        <v>0.30277777777777776</v>
      </c>
      <c r="G65" s="17">
        <f>VLOOKUP(E65,DISTANCE!$1:$1048576,3,0)</f>
        <v>0.56736111111111109</v>
      </c>
      <c r="H65" s="18">
        <f>VLOOKUP(E65,DISTANCE!$1:$1048576,4,0)</f>
        <v>0.26438657407407407</v>
      </c>
      <c r="I65" s="7">
        <f>VLOOKUP(E65,DISTANCE!$1:$1048576,5,0)</f>
        <v>21.45</v>
      </c>
      <c r="J65" s="7">
        <f>VLOOKUP(E65,DISTANCE!$1:$1048576,6,0)</f>
        <v>3.38</v>
      </c>
      <c r="K65" s="6" t="str">
        <f t="shared" ref="K65:K67" si="10">IF(I65&lt;8,"NOT WORKED","")</f>
        <v/>
      </c>
    </row>
    <row r="66" spans="1:11" x14ac:dyDescent="0.25">
      <c r="A66" s="10" t="s">
        <v>622</v>
      </c>
      <c r="C66" s="6">
        <v>10</v>
      </c>
      <c r="D66" s="6" t="s">
        <v>345</v>
      </c>
      <c r="E66" s="6" t="str">
        <f>VLOOKUP(A66,COV!$1:$1048576,2,0)</f>
        <v>RJ14GT7569SW</v>
      </c>
      <c r="F66" s="17">
        <f>VLOOKUP(E66,DISTANCE!$1:$1048576,2,0)</f>
        <v>0.30902777777777779</v>
      </c>
      <c r="G66" s="17">
        <f>VLOOKUP(E66,DISTANCE!$1:$1048576,3,0)</f>
        <v>0.44305555555555554</v>
      </c>
      <c r="H66" s="18">
        <f>VLOOKUP(E66,DISTANCE!$1:$1048576,4,0)</f>
        <v>0.13364583333333332</v>
      </c>
      <c r="I66" s="7">
        <f>VLOOKUP(E66,DISTANCE!$1:$1048576,5,0)</f>
        <v>11.66</v>
      </c>
      <c r="J66" s="7">
        <f>VLOOKUP(E66,DISTANCE!$1:$1048576,6,0)</f>
        <v>3.64</v>
      </c>
      <c r="K66" s="6" t="str">
        <f t="shared" si="10"/>
        <v/>
      </c>
    </row>
    <row r="67" spans="1:11" x14ac:dyDescent="0.25">
      <c r="A67" s="10" t="s">
        <v>621</v>
      </c>
      <c r="C67" s="6">
        <v>11</v>
      </c>
      <c r="D67" s="6" t="s">
        <v>346</v>
      </c>
      <c r="E67" s="6" t="str">
        <f>VLOOKUP(A67,COV!$1:$1048576,2,0)</f>
        <v>RJ14GT7546SW</v>
      </c>
      <c r="F67" s="17">
        <f>VLOOKUP(E67,DISTANCE!$1:$1048576,2,0)</f>
        <v>0.28263888888888888</v>
      </c>
      <c r="G67" s="17">
        <f>VLOOKUP(E67,DISTANCE!$1:$1048576,3,0)</f>
        <v>0.6118055555555556</v>
      </c>
      <c r="H67" s="18">
        <f>VLOOKUP(E67,DISTANCE!$1:$1048576,4,0)</f>
        <v>0.32935185185185184</v>
      </c>
      <c r="I67" s="7">
        <f>VLOOKUP(E67,DISTANCE!$1:$1048576,5,0)</f>
        <v>39.33</v>
      </c>
      <c r="J67" s="7">
        <f>VLOOKUP(E67,DISTANCE!$1:$1048576,6,0)</f>
        <v>4.9800000000000004</v>
      </c>
      <c r="K67" s="6" t="str">
        <f t="shared" si="10"/>
        <v/>
      </c>
    </row>
    <row r="68" spans="1:11" x14ac:dyDescent="0.25">
      <c r="A68" s="10" t="s">
        <v>620</v>
      </c>
      <c r="C68" s="6">
        <v>12</v>
      </c>
      <c r="D68" s="6" t="s">
        <v>347</v>
      </c>
      <c r="E68" s="6" t="str">
        <f>VLOOKUP(A68,COV!$1:$1048576,2,0)</f>
        <v>RJ14GT8163SW</v>
      </c>
      <c r="F68" s="17">
        <f>VLOOKUP(E68,DISTANCE!$1:$1048576,2,0)</f>
        <v>0.27083333333333331</v>
      </c>
      <c r="G68" s="17">
        <f>VLOOKUP(E68,DISTANCE!$1:$1048576,3,0)</f>
        <v>0.56944444444444442</v>
      </c>
      <c r="H68" s="18">
        <f>VLOOKUP(E68,DISTANCE!$1:$1048576,4,0)</f>
        <v>0.29863425925925924</v>
      </c>
      <c r="I68" s="7">
        <f>VLOOKUP(E68,DISTANCE!$1:$1048576,5,0)</f>
        <v>20.56</v>
      </c>
      <c r="J68" s="7">
        <f>VLOOKUP(E68,DISTANCE!$1:$1048576,6,0)</f>
        <v>2.87</v>
      </c>
      <c r="K68" s="6" t="str">
        <f t="shared" ref="K68:K73" si="11">IF(I68&lt;8,"NOT WORKED","")</f>
        <v/>
      </c>
    </row>
    <row r="69" spans="1:11" x14ac:dyDescent="0.25">
      <c r="A69" s="10" t="s">
        <v>619</v>
      </c>
      <c r="C69" s="6">
        <v>13</v>
      </c>
      <c r="D69" s="6" t="s">
        <v>348</v>
      </c>
      <c r="E69" s="6" t="str">
        <f>VLOOKUP(A69,COV!$1:$1048576,2,0)</f>
        <v>RJ14GT8168SW</v>
      </c>
      <c r="F69" s="17">
        <f>VLOOKUP(E69,DISTANCE!$1:$1048576,2,0)</f>
        <v>0.30972222222222223</v>
      </c>
      <c r="G69" s="17">
        <f>VLOOKUP(E69,DISTANCE!$1:$1048576,3,0)</f>
        <v>0.50555555555555554</v>
      </c>
      <c r="H69" s="18">
        <f>VLOOKUP(E69,DISTANCE!$1:$1048576,4,0)</f>
        <v>0.19616898148148149</v>
      </c>
      <c r="I69" s="7">
        <f>VLOOKUP(E69,DISTANCE!$1:$1048576,5,0)</f>
        <v>21.51</v>
      </c>
      <c r="J69" s="7">
        <f>VLOOKUP(E69,DISTANCE!$1:$1048576,6,0)</f>
        <v>4.57</v>
      </c>
      <c r="K69" s="6" t="str">
        <f t="shared" ref="K69" si="12">IF(I69&lt;8,"NOT WORKED","")</f>
        <v/>
      </c>
    </row>
    <row r="70" spans="1:11" x14ac:dyDescent="0.25">
      <c r="A70" s="10" t="s">
        <v>618</v>
      </c>
      <c r="C70" s="6">
        <v>14</v>
      </c>
      <c r="D70" s="6" t="s">
        <v>349</v>
      </c>
      <c r="E70" s="6" t="str">
        <f>VLOOKUP(A70,COV!$1:$1048576,2,0)</f>
        <v>RJ14GT7568SW</v>
      </c>
      <c r="F70" s="17">
        <f>VLOOKUP(E70,DISTANCE!$1:$1048576,2,0)</f>
        <v>0.27777777777777779</v>
      </c>
      <c r="G70" s="17">
        <f>VLOOKUP(E70,DISTANCE!$1:$1048576,3,0)</f>
        <v>0.63749999999999996</v>
      </c>
      <c r="H70" s="18">
        <f>VLOOKUP(E70,DISTANCE!$1:$1048576,4,0)</f>
        <v>0.35971064814814813</v>
      </c>
      <c r="I70" s="7">
        <f>VLOOKUP(E70,DISTANCE!$1:$1048576,5,0)</f>
        <v>53.99</v>
      </c>
      <c r="J70" s="7">
        <f>VLOOKUP(E70,DISTANCE!$1:$1048576,6,0)</f>
        <v>6.25</v>
      </c>
      <c r="K70" s="6" t="str">
        <f t="shared" ref="K70" si="13">IF(I70&lt;8,"NOT WORKED","")</f>
        <v/>
      </c>
    </row>
    <row r="71" spans="1:11" x14ac:dyDescent="0.25">
      <c r="A71" s="10" t="s">
        <v>617</v>
      </c>
      <c r="C71" s="6">
        <v>15</v>
      </c>
      <c r="D71" s="6" t="s">
        <v>350</v>
      </c>
      <c r="E71" s="6" t="str">
        <f>VLOOKUP(A71,COV!$1:$1048576,2,0)</f>
        <v>SVE15827SW</v>
      </c>
      <c r="F71" s="17">
        <f>VLOOKUP(E71,DISTANCE!$1:$1048576,2,0)</f>
        <v>0.30138888888888887</v>
      </c>
      <c r="G71" s="17">
        <f>VLOOKUP(E71,DISTANCE!$1:$1048576,3,0)</f>
        <v>0.51111111111111107</v>
      </c>
      <c r="H71" s="18">
        <f>VLOOKUP(E71,DISTANCE!$1:$1048576,4,0)</f>
        <v>0.21012731481481481</v>
      </c>
      <c r="I71" s="7">
        <f>VLOOKUP(E71,DISTANCE!$1:$1048576,5,0)</f>
        <v>34.46</v>
      </c>
      <c r="J71" s="7">
        <f>VLOOKUP(E71,DISTANCE!$1:$1048576,6,0)</f>
        <v>6.83</v>
      </c>
      <c r="K71" s="6" t="str">
        <f t="shared" si="11"/>
        <v/>
      </c>
    </row>
    <row r="72" spans="1:11" x14ac:dyDescent="0.25">
      <c r="A72" s="10" t="s">
        <v>616</v>
      </c>
      <c r="C72" s="6">
        <v>16</v>
      </c>
      <c r="D72" s="6" t="s">
        <v>351</v>
      </c>
      <c r="E72" s="6" t="str">
        <f>VLOOKUP(A72,COV!$1:$1048576,2,0)</f>
        <v>RJ14GT8929SW</v>
      </c>
      <c r="F72" s="17">
        <f>VLOOKUP(E72,DISTANCE!$1:$1048576,2,0)</f>
        <v>0.35347222222222224</v>
      </c>
      <c r="G72" s="17">
        <f>VLOOKUP(E72,DISTANCE!$1:$1048576,3,0)</f>
        <v>0.53819444444444442</v>
      </c>
      <c r="H72" s="18">
        <f>VLOOKUP(E72,DISTANCE!$1:$1048576,4,0)</f>
        <v>0.1842013888888889</v>
      </c>
      <c r="I72" s="7">
        <f>VLOOKUP(E72,DISTANCE!$1:$1048576,5,0)</f>
        <v>13.45</v>
      </c>
      <c r="J72" s="7">
        <f>VLOOKUP(E72,DISTANCE!$1:$1048576,6,0)</f>
        <v>3.04</v>
      </c>
      <c r="K72" s="6" t="str">
        <f t="shared" si="11"/>
        <v/>
      </c>
    </row>
    <row r="73" spans="1:11" x14ac:dyDescent="0.25">
      <c r="A73" s="10" t="s">
        <v>615</v>
      </c>
      <c r="C73" s="6">
        <v>17</v>
      </c>
      <c r="D73" s="6" t="s">
        <v>352</v>
      </c>
      <c r="E73" s="6" t="str">
        <f>VLOOKUP(A73,COV!$1:$1048576,2,0)</f>
        <v>SVE16555SW</v>
      </c>
      <c r="F73" s="17">
        <f>VLOOKUP(E73,DISTANCE!$1:$1048576,2,0)</f>
        <v>0.32083333333333336</v>
      </c>
      <c r="G73" s="17">
        <f>VLOOKUP(E73,DISTANCE!$1:$1048576,3,0)</f>
        <v>0.54513888888888884</v>
      </c>
      <c r="H73" s="18">
        <f>VLOOKUP(E73,DISTANCE!$1:$1048576,4,0)</f>
        <v>0.22400462962962964</v>
      </c>
      <c r="I73" s="7">
        <f>VLOOKUP(E73,DISTANCE!$1:$1048576,5,0)</f>
        <v>18.28</v>
      </c>
      <c r="J73" s="7">
        <f>VLOOKUP(E73,DISTANCE!$1:$1048576,6,0)</f>
        <v>3.4</v>
      </c>
      <c r="K73" s="6" t="str">
        <f t="shared" si="11"/>
        <v/>
      </c>
    </row>
    <row r="74" spans="1:11" x14ac:dyDescent="0.25">
      <c r="A74" s="10" t="s">
        <v>614</v>
      </c>
      <c r="C74" s="6">
        <v>18</v>
      </c>
      <c r="D74" s="6" t="s">
        <v>352</v>
      </c>
      <c r="E74" s="6" t="str">
        <f>VLOOKUP(A74,COV!$1:$1048576,2,0)</f>
        <v>RJ14GT7572SW</v>
      </c>
      <c r="F74" s="17">
        <f>VLOOKUP(E74,DISTANCE!$1:$1048576,2,0)</f>
        <v>0.26666666666666666</v>
      </c>
      <c r="G74" s="17">
        <f>VLOOKUP(E74,DISTANCE!$1:$1048576,3,0)</f>
        <v>0.62013888888888891</v>
      </c>
      <c r="H74" s="18">
        <f>VLOOKUP(E74,DISTANCE!$1:$1048576,4,0)</f>
        <v>0.35315972222222225</v>
      </c>
      <c r="I74" s="7">
        <f>VLOOKUP(E74,DISTANCE!$1:$1048576,5,0)</f>
        <v>33.369999999999997</v>
      </c>
      <c r="J74" s="7">
        <f>VLOOKUP(E74,DISTANCE!$1:$1048576,6,0)</f>
        <v>3.94</v>
      </c>
      <c r="K74" s="6" t="str">
        <f t="shared" ref="K74:K77" si="14">IF(I74&lt;8,"NOT WORKED","")</f>
        <v/>
      </c>
    </row>
    <row r="75" spans="1:11" x14ac:dyDescent="0.25">
      <c r="A75" s="10" t="s">
        <v>613</v>
      </c>
      <c r="C75" s="6">
        <v>19</v>
      </c>
      <c r="D75" s="6" t="s">
        <v>353</v>
      </c>
      <c r="E75" s="6" t="str">
        <f>VLOOKUP(A75,COV!$1:$1048576,2,0)</f>
        <v>RJ14GT8302SW</v>
      </c>
      <c r="F75" s="17">
        <f>VLOOKUP(E75,DISTANCE!$1:$1048576,2,0)</f>
        <v>0.27430555555555558</v>
      </c>
      <c r="G75" s="17">
        <f>VLOOKUP(E75,DISTANCE!$1:$1048576,3,0)</f>
        <v>0.55972222222222223</v>
      </c>
      <c r="H75" s="18">
        <f>VLOOKUP(E75,DISTANCE!$1:$1048576,4,0)</f>
        <v>0.28502314814814816</v>
      </c>
      <c r="I75" s="7">
        <f>VLOOKUP(E75,DISTANCE!$1:$1048576,5,0)</f>
        <v>36.9</v>
      </c>
      <c r="J75" s="7">
        <f>VLOOKUP(E75,DISTANCE!$1:$1048576,6,0)</f>
        <v>5.39</v>
      </c>
      <c r="K75" s="6" t="str">
        <f t="shared" si="14"/>
        <v/>
      </c>
    </row>
    <row r="76" spans="1:11" x14ac:dyDescent="0.25">
      <c r="A76" s="10" t="s">
        <v>612</v>
      </c>
      <c r="C76" s="6">
        <v>20</v>
      </c>
      <c r="D76" s="6" t="s">
        <v>354</v>
      </c>
      <c r="E76" s="6" t="str">
        <f>VLOOKUP(A76,COV!$1:$1048576,2,0)</f>
        <v>RJ14GT8124SW</v>
      </c>
      <c r="F76" s="17">
        <f>VLOOKUP(E76,DISTANCE!$1:$1048576,2,0)</f>
        <v>0.30972222222222223</v>
      </c>
      <c r="G76" s="17">
        <f>VLOOKUP(E76,DISTANCE!$1:$1048576,3,0)</f>
        <v>0.64861111111111114</v>
      </c>
      <c r="H76" s="18">
        <f>VLOOKUP(E76,DISTANCE!$1:$1048576,4,0)</f>
        <v>0.33861111111111108</v>
      </c>
      <c r="I76" s="7">
        <f>VLOOKUP(E76,DISTANCE!$1:$1048576,5,0)</f>
        <v>51.52</v>
      </c>
      <c r="J76" s="7">
        <f>VLOOKUP(E76,DISTANCE!$1:$1048576,6,0)</f>
        <v>6.34</v>
      </c>
      <c r="K76" s="6" t="str">
        <f t="shared" si="14"/>
        <v/>
      </c>
    </row>
    <row r="77" spans="1:11" x14ac:dyDescent="0.25">
      <c r="A77" s="10" t="s">
        <v>611</v>
      </c>
      <c r="C77" s="6">
        <v>21</v>
      </c>
      <c r="D77" s="6" t="s">
        <v>355</v>
      </c>
      <c r="E77" s="6" t="str">
        <f>VLOOKUP(A77,COV!$1:$1048576,2,0)</f>
        <v>SZE14832SW</v>
      </c>
      <c r="F77" s="17">
        <f>VLOOKUP(E77,DISTANCE!$1:$1048576,2,0)</f>
        <v>0.33124999999999999</v>
      </c>
      <c r="G77" s="17">
        <f>VLOOKUP(E77,DISTANCE!$1:$1048576,3,0)</f>
        <v>0.56944444444444442</v>
      </c>
      <c r="H77" s="18">
        <f>VLOOKUP(E77,DISTANCE!$1:$1048576,4,0)</f>
        <v>0.23780092592592592</v>
      </c>
      <c r="I77" s="7">
        <f>VLOOKUP(E77,DISTANCE!$1:$1048576,5,0)</f>
        <v>22.83</v>
      </c>
      <c r="J77" s="7">
        <f>VLOOKUP(E77,DISTANCE!$1:$1048576,6,0)</f>
        <v>4</v>
      </c>
      <c r="K77" s="6" t="str">
        <f t="shared" si="14"/>
        <v/>
      </c>
    </row>
    <row r="78" spans="1:11" x14ac:dyDescent="0.25">
      <c r="A78" s="10" t="s">
        <v>610</v>
      </c>
      <c r="C78" s="6">
        <v>22</v>
      </c>
      <c r="D78" s="6" t="s">
        <v>355</v>
      </c>
      <c r="E78" s="6" t="str">
        <f>VLOOKUP(A78,COV!$1:$1048576,2,0)</f>
        <v>RJ14GT8134SW</v>
      </c>
      <c r="F78" s="17">
        <f>VLOOKUP(E78,DISTANCE!$1:$1048576,2,0)</f>
        <v>0.35902777777777778</v>
      </c>
      <c r="G78" s="17">
        <f>VLOOKUP(E78,DISTANCE!$1:$1048576,3,0)</f>
        <v>0.46736111111111112</v>
      </c>
      <c r="H78" s="18">
        <f>VLOOKUP(E78,DISTANCE!$1:$1048576,4,0)</f>
        <v>0.1078587962962963</v>
      </c>
      <c r="I78" s="7">
        <f>VLOOKUP(E78,DISTANCE!$1:$1048576,5,0)</f>
        <v>10.73</v>
      </c>
      <c r="J78" s="7">
        <f>VLOOKUP(E78,DISTANCE!$1:$1048576,6,0)</f>
        <v>4.1399999999999997</v>
      </c>
      <c r="K78" s="6" t="str">
        <f t="shared" ref="K78:K80" si="15">IF(I78&lt;8,"NOT WORKED","")</f>
        <v/>
      </c>
    </row>
    <row r="79" spans="1:11" x14ac:dyDescent="0.25">
      <c r="A79" s="10" t="s">
        <v>609</v>
      </c>
      <c r="C79" s="6">
        <v>23</v>
      </c>
      <c r="D79" s="6" t="s">
        <v>355</v>
      </c>
      <c r="E79" s="6" t="str">
        <f>VLOOKUP(A79,COV!$1:$1048576,2,0)</f>
        <v>RJ14GT8200SP</v>
      </c>
      <c r="F79" s="17">
        <f>VLOOKUP(E79,DISTANCE!$1:$1048576,2,0)</f>
        <v>0.28055555555555556</v>
      </c>
      <c r="G79" s="17">
        <f>VLOOKUP(E79,DISTANCE!$1:$1048576,3,0)</f>
        <v>0.52986111111111112</v>
      </c>
      <c r="H79" s="18">
        <f>VLOOKUP(E79,DISTANCE!$1:$1048576,4,0)</f>
        <v>0.2494675925925926</v>
      </c>
      <c r="I79" s="7">
        <f>VLOOKUP(E79,DISTANCE!$1:$1048576,5,0)</f>
        <v>39.700000000000003</v>
      </c>
      <c r="J79" s="7">
        <f>VLOOKUP(E79,DISTANCE!$1:$1048576,6,0)</f>
        <v>6.63</v>
      </c>
      <c r="K79" s="6" t="str">
        <f t="shared" ref="K79:K82" si="16">IF(I79&lt;8,"NOT WORKED","")</f>
        <v/>
      </c>
    </row>
    <row r="80" spans="1:11" x14ac:dyDescent="0.25">
      <c r="A80" s="10" t="s">
        <v>608</v>
      </c>
      <c r="C80" s="6">
        <v>24</v>
      </c>
      <c r="D80" s="6" t="s">
        <v>356</v>
      </c>
      <c r="E80" s="6" t="str">
        <f>VLOOKUP(A80,COV!$1:$1048576,2,0)</f>
        <v>RJ14GT8938SW</v>
      </c>
      <c r="F80" s="17">
        <f>VLOOKUP(E80,DISTANCE!$1:$1048576,2,0)</f>
        <v>0.28819444444444442</v>
      </c>
      <c r="G80" s="17">
        <f>VLOOKUP(E80,DISTANCE!$1:$1048576,3,0)</f>
        <v>0.49652777777777779</v>
      </c>
      <c r="H80" s="18">
        <f>VLOOKUP(E80,DISTANCE!$1:$1048576,4,0)</f>
        <v>0.20796296296296296</v>
      </c>
      <c r="I80" s="7">
        <f>VLOOKUP(E80,DISTANCE!$1:$1048576,5,0)</f>
        <v>29.86</v>
      </c>
      <c r="J80" s="7">
        <f>VLOOKUP(E80,DISTANCE!$1:$1048576,6,0)</f>
        <v>5.98</v>
      </c>
      <c r="K80" s="6" t="str">
        <f t="shared" si="16"/>
        <v/>
      </c>
    </row>
    <row r="81" spans="1:11" x14ac:dyDescent="0.25">
      <c r="A81" s="10" t="s">
        <v>607</v>
      </c>
      <c r="C81" s="6">
        <v>25</v>
      </c>
      <c r="D81" s="6" t="s">
        <v>356</v>
      </c>
      <c r="E81" s="6" t="str">
        <f>VLOOKUP(A81,COV!$1:$1048576,2,0)</f>
        <v>RJ14GT8968SW</v>
      </c>
      <c r="F81" s="53" t="str">
        <f>IF(I81&lt;8,"NOT WORKED","")</f>
        <v>NOT WORKED</v>
      </c>
      <c r="G81" s="54"/>
      <c r="H81" s="54"/>
      <c r="I81" s="54"/>
      <c r="J81" s="54"/>
      <c r="K81" s="55"/>
    </row>
    <row r="82" spans="1:11" x14ac:dyDescent="0.25">
      <c r="A82" s="10" t="s">
        <v>606</v>
      </c>
      <c r="C82" s="6">
        <v>26</v>
      </c>
      <c r="D82" s="6" t="s">
        <v>356</v>
      </c>
      <c r="E82" s="6" t="str">
        <f>VLOOKUP(A82,COV!$1:$1048576,2,0)</f>
        <v>RJ14GT8156SW</v>
      </c>
      <c r="F82" s="17">
        <f>VLOOKUP(E82,DISTANCE!$1:$1048576,2,0)</f>
        <v>0.30416666666666664</v>
      </c>
      <c r="G82" s="17">
        <f>VLOOKUP(E82,DISTANCE!$1:$1048576,3,0)</f>
        <v>0.62361111111111112</v>
      </c>
      <c r="H82" s="18">
        <f>VLOOKUP(E82,DISTANCE!$1:$1048576,4,0)</f>
        <v>0.31927083333333334</v>
      </c>
      <c r="I82" s="7">
        <f>VLOOKUP(E82,DISTANCE!$1:$1048576,5,0)</f>
        <v>45.3</v>
      </c>
      <c r="J82" s="7">
        <f>VLOOKUP(E82,DISTANCE!$1:$1048576,6,0)</f>
        <v>5.91</v>
      </c>
      <c r="K82" s="6" t="str">
        <f t="shared" ref="K81:K82" si="17">IF(I82&lt;8,"NOT WORKED","")</f>
        <v/>
      </c>
    </row>
    <row r="83" spans="1:11" x14ac:dyDescent="0.25">
      <c r="A83" s="10" t="s">
        <v>605</v>
      </c>
      <c r="C83" s="6">
        <v>27</v>
      </c>
      <c r="D83" s="6" t="s">
        <v>356</v>
      </c>
      <c r="E83" s="6" t="str">
        <f>VLOOKUP(A83,COV!$1:$1048576,2,0)</f>
        <v>SVG20872QRT</v>
      </c>
      <c r="F83" s="17">
        <f>VLOOKUP(E83,DISTANCE!$1:$1048576,2,0)</f>
        <v>0.29791666666666666</v>
      </c>
      <c r="G83" s="17">
        <f>VLOOKUP(E83,DISTANCE!$1:$1048576,3,0)</f>
        <v>0.55347222222222225</v>
      </c>
      <c r="H83" s="18">
        <f>VLOOKUP(E83,DISTANCE!$1:$1048576,4,0)</f>
        <v>0.25596064814814817</v>
      </c>
      <c r="I83" s="7">
        <f>VLOOKUP(E83,DISTANCE!$1:$1048576,5,0)</f>
        <v>35.94</v>
      </c>
      <c r="J83" s="7">
        <f>VLOOKUP(E83,DISTANCE!$1:$1048576,6,0)</f>
        <v>5.85</v>
      </c>
      <c r="K83" s="6" t="str">
        <f t="shared" ref="K83" si="18">IF(I83&lt;8,"NOT WORKED","")</f>
        <v/>
      </c>
    </row>
    <row r="84" spans="1:11" x14ac:dyDescent="0.25">
      <c r="A84" s="10" t="s">
        <v>604</v>
      </c>
      <c r="C84" s="6">
        <v>28</v>
      </c>
      <c r="D84" s="6" t="s">
        <v>356</v>
      </c>
      <c r="E84" s="6" t="str">
        <f>VLOOKUP(A84,COV!$1:$1048576,2,0)</f>
        <v>RJ14GT8113SW</v>
      </c>
      <c r="F84" s="17">
        <f>VLOOKUP(E84,DISTANCE!$1:$1048576,2,0)</f>
        <v>0.29305555555555557</v>
      </c>
      <c r="G84" s="17">
        <f>VLOOKUP(E84,DISTANCE!$1:$1048576,3,0)</f>
        <v>0.48680555555555555</v>
      </c>
      <c r="H84" s="18">
        <f>VLOOKUP(E84,DISTANCE!$1:$1048576,4,0)</f>
        <v>0.19318287037037038</v>
      </c>
      <c r="I84" s="7">
        <f>VLOOKUP(E84,DISTANCE!$1:$1048576,5,0)</f>
        <v>27.78</v>
      </c>
      <c r="J84" s="7">
        <f>VLOOKUP(E84,DISTANCE!$1:$1048576,6,0)</f>
        <v>5.99</v>
      </c>
      <c r="K84" s="6" t="str">
        <f t="shared" si="9"/>
        <v/>
      </c>
    </row>
    <row r="85" spans="1:11" x14ac:dyDescent="0.25">
      <c r="A85" s="10" t="s">
        <v>603</v>
      </c>
      <c r="C85" s="6">
        <v>29</v>
      </c>
      <c r="D85" s="6" t="s">
        <v>549</v>
      </c>
      <c r="E85" s="6" t="str">
        <f>VLOOKUP(A85,COV!$1:$1048576,2,0)</f>
        <v>RJ14GT8258SW</v>
      </c>
      <c r="F85" s="17">
        <f>VLOOKUP(E85,DISTANCE!$1:$1048576,2,0)</f>
        <v>0.30763888888888891</v>
      </c>
      <c r="G85" s="17">
        <f>VLOOKUP(E85,DISTANCE!$1:$1048576,3,0)</f>
        <v>0.48333333333333334</v>
      </c>
      <c r="H85" s="18">
        <f>VLOOKUP(E85,DISTANCE!$1:$1048576,4,0)</f>
        <v>0.17549768518518519</v>
      </c>
      <c r="I85" s="7">
        <f>VLOOKUP(E85,DISTANCE!$1:$1048576,5,0)</f>
        <v>15.78</v>
      </c>
      <c r="J85" s="7">
        <f>VLOOKUP(E85,DISTANCE!$1:$1048576,6,0)</f>
        <v>3.75</v>
      </c>
      <c r="K85" s="6" t="str">
        <f t="shared" ref="K85" si="19">IF(I85&lt;8,"NOT WORKED","")</f>
        <v/>
      </c>
    </row>
    <row r="86" spans="1:11" x14ac:dyDescent="0.25">
      <c r="A86" s="10" t="s">
        <v>602</v>
      </c>
      <c r="C86" s="6">
        <v>30</v>
      </c>
      <c r="D86" s="6" t="s">
        <v>549</v>
      </c>
      <c r="E86" s="6" t="str">
        <f>VLOOKUP(A86,COV!$1:$1048576,2,0)</f>
        <v>SVE16562SW</v>
      </c>
      <c r="F86" s="17">
        <f>VLOOKUP(E86,DISTANCE!$1:$1048576,2,0)</f>
        <v>0</v>
      </c>
      <c r="G86" s="17">
        <f>VLOOKUP(E86,DISTANCE!$1:$1048576,3,0)</f>
        <v>0.65972222222222221</v>
      </c>
      <c r="H86" s="18">
        <f>VLOOKUP(E86,DISTANCE!$1:$1048576,4,0)</f>
        <v>0.65990740740740739</v>
      </c>
      <c r="I86" s="7">
        <f>VLOOKUP(E86,DISTANCE!$1:$1048576,5,0)</f>
        <v>34.03</v>
      </c>
      <c r="J86" s="7">
        <f>VLOOKUP(E86,DISTANCE!$1:$1048576,6,0)</f>
        <v>2.15</v>
      </c>
      <c r="K86" s="6" t="str">
        <f t="shared" ref="K86" si="20">IF(I86&lt;8,"NOT WORKED","")</f>
        <v/>
      </c>
    </row>
    <row r="87" spans="1:11" x14ac:dyDescent="0.25">
      <c r="A87" s="10" t="s">
        <v>601</v>
      </c>
      <c r="C87" s="6">
        <v>31</v>
      </c>
      <c r="D87" s="6" t="s">
        <v>357</v>
      </c>
      <c r="E87" s="6" t="str">
        <f>VLOOKUP(A87,COV!$1:$1048576,2,0)</f>
        <v>SVE15607SW</v>
      </c>
      <c r="F87" s="17">
        <f>VLOOKUP(E87,DISTANCE!$1:$1048576,2,0)</f>
        <v>0.30277777777777776</v>
      </c>
      <c r="G87" s="17">
        <f>VLOOKUP(E87,DISTANCE!$1:$1048576,3,0)</f>
        <v>0.50208333333333333</v>
      </c>
      <c r="H87" s="18">
        <f>VLOOKUP(E87,DISTANCE!$1:$1048576,4,0)</f>
        <v>0.19869212962962962</v>
      </c>
      <c r="I87" s="7">
        <f>VLOOKUP(E87,DISTANCE!$1:$1048576,5,0)</f>
        <v>27.93</v>
      </c>
      <c r="J87" s="7">
        <f>VLOOKUP(E87,DISTANCE!$1:$1048576,6,0)</f>
        <v>5.86</v>
      </c>
      <c r="K87" s="6" t="str">
        <f t="shared" si="9"/>
        <v/>
      </c>
    </row>
    <row r="88" spans="1:11" x14ac:dyDescent="0.25">
      <c r="A88" s="10" t="s">
        <v>600</v>
      </c>
      <c r="C88" s="6">
        <v>32</v>
      </c>
      <c r="D88" s="6" t="s">
        <v>358</v>
      </c>
      <c r="E88" s="6" t="str">
        <f>VLOOKUP(A88,COV!$1:$1048576,2,0)</f>
        <v>RJ14GT8114SW</v>
      </c>
      <c r="F88" s="17">
        <f>VLOOKUP(E88,DISTANCE!$1:$1048576,2,0)</f>
        <v>0.29097222222222224</v>
      </c>
      <c r="G88" s="17">
        <f>VLOOKUP(E88,DISTANCE!$1:$1048576,3,0)</f>
        <v>0.57361111111111107</v>
      </c>
      <c r="H88" s="18">
        <f>VLOOKUP(E88,DISTANCE!$1:$1048576,4,0)</f>
        <v>0.28278935185185183</v>
      </c>
      <c r="I88" s="7">
        <f>VLOOKUP(E88,DISTANCE!$1:$1048576,5,0)</f>
        <v>46.06</v>
      </c>
      <c r="J88" s="7">
        <f>VLOOKUP(E88,DISTANCE!$1:$1048576,6,0)</f>
        <v>6.79</v>
      </c>
      <c r="K88" s="6" t="str">
        <f t="shared" si="9"/>
        <v/>
      </c>
    </row>
    <row r="89" spans="1:11" x14ac:dyDescent="0.25">
      <c r="A89" s="10" t="s">
        <v>599</v>
      </c>
      <c r="C89" s="6">
        <v>33</v>
      </c>
      <c r="D89" s="6" t="s">
        <v>359</v>
      </c>
      <c r="E89" s="6" t="str">
        <f>VLOOKUP(A89,COV!$1:$1048576,2,0)</f>
        <v>RJ14GT9040SW</v>
      </c>
      <c r="F89" s="17">
        <f>VLOOKUP(E89,DISTANCE!$1:$1048576,2,0)</f>
        <v>0.33124999999999999</v>
      </c>
      <c r="G89" s="17">
        <f>VLOOKUP(E89,DISTANCE!$1:$1048576,3,0)</f>
        <v>0.59166666666666667</v>
      </c>
      <c r="H89" s="18">
        <f>VLOOKUP(E89,DISTANCE!$1:$1048576,4,0)</f>
        <v>0.26015046296296296</v>
      </c>
      <c r="I89" s="7">
        <f>VLOOKUP(E89,DISTANCE!$1:$1048576,5,0)</f>
        <v>26.19</v>
      </c>
      <c r="J89" s="7">
        <f>VLOOKUP(E89,DISTANCE!$1:$1048576,6,0)</f>
        <v>4.1900000000000004</v>
      </c>
      <c r="K89" s="6" t="str">
        <f t="shared" si="9"/>
        <v/>
      </c>
    </row>
    <row r="90" spans="1:11" x14ac:dyDescent="0.25">
      <c r="A90" s="10" t="s">
        <v>598</v>
      </c>
      <c r="C90" s="6">
        <v>34</v>
      </c>
      <c r="D90" s="6" t="s">
        <v>360</v>
      </c>
      <c r="E90" s="6" t="str">
        <f>VLOOKUP(A90,COV!$1:$1048576,2,0)</f>
        <v>RJ14GT8930SW</v>
      </c>
      <c r="F90" s="17">
        <f>VLOOKUP(E90,DISTANCE!$1:$1048576,2,0)</f>
        <v>0.3034722222222222</v>
      </c>
      <c r="G90" s="17">
        <f>VLOOKUP(E90,DISTANCE!$1:$1048576,3,0)</f>
        <v>0.49791666666666667</v>
      </c>
      <c r="H90" s="18">
        <f>VLOOKUP(E90,DISTANCE!$1:$1048576,4,0)</f>
        <v>0.19399305555555554</v>
      </c>
      <c r="I90" s="7">
        <f>VLOOKUP(E90,DISTANCE!$1:$1048576,5,0)</f>
        <v>21.35</v>
      </c>
      <c r="J90" s="7">
        <f>VLOOKUP(E90,DISTANCE!$1:$1048576,6,0)</f>
        <v>4.58</v>
      </c>
      <c r="K90" s="6" t="str">
        <f t="shared" ref="K90" si="21">IF(I90&lt;8,"NOT WORKED","")</f>
        <v/>
      </c>
    </row>
    <row r="91" spans="1:11" x14ac:dyDescent="0.25">
      <c r="C91" s="48" t="s">
        <v>144</v>
      </c>
      <c r="D91" s="48"/>
      <c r="E91" s="48"/>
      <c r="F91" s="48"/>
      <c r="G91" s="48"/>
      <c r="H91" s="48"/>
      <c r="I91" s="15">
        <f>AVERAGE(I57:I90)</f>
        <v>27.992903225806447</v>
      </c>
      <c r="J91" s="15">
        <f>AVERAGE(J57:J90)</f>
        <v>4.5738709677419349</v>
      </c>
      <c r="K91" s="3"/>
    </row>
    <row r="92" spans="1:11" x14ac:dyDescent="0.25">
      <c r="C92" s="58"/>
      <c r="D92" s="59"/>
      <c r="E92" s="59"/>
      <c r="F92" s="59"/>
      <c r="G92" s="59"/>
      <c r="H92" s="59"/>
      <c r="I92" s="59"/>
      <c r="J92" s="59"/>
      <c r="K92" s="60"/>
    </row>
    <row r="93" spans="1:11" x14ac:dyDescent="0.25">
      <c r="C93" s="56" t="s">
        <v>311</v>
      </c>
      <c r="D93" s="56"/>
      <c r="E93" s="56"/>
      <c r="F93" s="56"/>
      <c r="G93" s="56"/>
      <c r="H93" s="56"/>
      <c r="I93" s="56"/>
      <c r="J93" s="56"/>
      <c r="K93" s="56"/>
    </row>
    <row r="94" spans="1:11" x14ac:dyDescent="0.25">
      <c r="C94" s="56" t="s">
        <v>550</v>
      </c>
      <c r="D94" s="56"/>
      <c r="E94" s="56"/>
      <c r="F94" s="56"/>
      <c r="G94" s="56"/>
      <c r="H94" s="56"/>
      <c r="I94" s="56"/>
      <c r="J94" s="56"/>
      <c r="K94" s="56"/>
    </row>
    <row r="95" spans="1:11" x14ac:dyDescent="0.25">
      <c r="C95" s="57">
        <f ca="1">TODAY()</f>
        <v>46178</v>
      </c>
      <c r="D95" s="57"/>
      <c r="E95" s="57"/>
      <c r="F95" s="57"/>
      <c r="G95" s="57"/>
      <c r="H95" s="57"/>
      <c r="I95" s="57"/>
      <c r="J95" s="57"/>
      <c r="K95" s="57"/>
    </row>
    <row r="96" spans="1:11" x14ac:dyDescent="0.25">
      <c r="C96" s="16" t="s">
        <v>142</v>
      </c>
      <c r="D96" s="16" t="s">
        <v>0</v>
      </c>
      <c r="E96" s="16" t="s">
        <v>139</v>
      </c>
      <c r="F96" s="16" t="s">
        <v>1</v>
      </c>
      <c r="G96" s="16" t="s">
        <v>2</v>
      </c>
      <c r="H96" s="16" t="s">
        <v>3</v>
      </c>
      <c r="I96" s="16" t="s">
        <v>4</v>
      </c>
      <c r="J96" s="16" t="s">
        <v>5</v>
      </c>
      <c r="K96" s="16" t="s">
        <v>143</v>
      </c>
    </row>
    <row r="97" spans="1:11" x14ac:dyDescent="0.25">
      <c r="A97" s="10" t="s">
        <v>632</v>
      </c>
      <c r="C97" s="6">
        <v>1</v>
      </c>
      <c r="D97" s="6" t="s">
        <v>314</v>
      </c>
      <c r="E97" s="6" t="str">
        <f>VLOOKUP(A97,COV!$1:$1048576,2,0)</f>
        <v>RJ14GT8196SW</v>
      </c>
      <c r="F97" s="17">
        <f>VLOOKUP(E97,DISTANCE!$1:$1048576,2,0)</f>
        <v>0.28263888888888888</v>
      </c>
      <c r="G97" s="17">
        <f>VLOOKUP(E97,DISTANCE!$1:$1048576,3,0)</f>
        <v>0.55902777777777779</v>
      </c>
      <c r="H97" s="18">
        <f>VLOOKUP(E97,DISTANCE!$1:$1048576,4,0)</f>
        <v>0.27677083333333335</v>
      </c>
      <c r="I97" s="7">
        <f>VLOOKUP(E97,DISTANCE!$1:$1048576,5,0)</f>
        <v>17.32</v>
      </c>
      <c r="J97" s="7">
        <f>VLOOKUP(E97,DISTANCE!$1:$1048576,6,0)</f>
        <v>2.61</v>
      </c>
      <c r="K97" s="6" t="str">
        <f t="shared" ref="K97" si="22">IF(I97&lt;8,"NOT WORKED","")</f>
        <v/>
      </c>
    </row>
    <row r="98" spans="1:11" x14ac:dyDescent="0.25">
      <c r="A98" s="10" t="s">
        <v>633</v>
      </c>
      <c r="C98" s="6">
        <v>2</v>
      </c>
      <c r="D98" s="6" t="s">
        <v>314</v>
      </c>
      <c r="E98" s="6" t="str">
        <f>VLOOKUP(A98,COV!$1:$1048576,2,0)</f>
        <v>RJ14GT8242CM</v>
      </c>
      <c r="F98" s="17">
        <f>VLOOKUP(E98,DISTANCE!$1:$1048576,2,0)</f>
        <v>0.31180555555555556</v>
      </c>
      <c r="G98" s="17">
        <f>VLOOKUP(E98,DISTANCE!$1:$1048576,3,0)</f>
        <v>0.53194444444444444</v>
      </c>
      <c r="H98" s="18">
        <f>VLOOKUP(E98,DISTANCE!$1:$1048576,4,0)</f>
        <v>0.22011574074074075</v>
      </c>
      <c r="I98" s="7">
        <f>VLOOKUP(E98,DISTANCE!$1:$1048576,5,0)</f>
        <v>14.5</v>
      </c>
      <c r="J98" s="7">
        <f>VLOOKUP(E98,DISTANCE!$1:$1048576,6,0)</f>
        <v>2.74</v>
      </c>
      <c r="K98" s="6" t="str">
        <f t="shared" ref="K98:K103" si="23">IF(I98&lt;8,"NOT WORKED","")</f>
        <v/>
      </c>
    </row>
    <row r="99" spans="1:11" x14ac:dyDescent="0.25">
      <c r="A99" s="10" t="s">
        <v>634</v>
      </c>
      <c r="C99" s="6">
        <v>3</v>
      </c>
      <c r="D99" s="6" t="s">
        <v>314</v>
      </c>
      <c r="E99" s="6" t="str">
        <f>VLOOKUP(A99,COV!$1:$1048576,2,0)</f>
        <v>RJ14GT8935SW</v>
      </c>
      <c r="F99" s="17">
        <f>VLOOKUP(E99,DISTANCE!$1:$1048576,2,0)</f>
        <v>0.29583333333333334</v>
      </c>
      <c r="G99" s="17">
        <f>VLOOKUP(E99,DISTANCE!$1:$1048576,3,0)</f>
        <v>0.45069444444444445</v>
      </c>
      <c r="H99" s="18">
        <f>VLOOKUP(E99,DISTANCE!$1:$1048576,4,0)</f>
        <v>0.15508101851851852</v>
      </c>
      <c r="I99" s="7">
        <f>VLOOKUP(E99,DISTANCE!$1:$1048576,5,0)</f>
        <v>29.9</v>
      </c>
      <c r="J99" s="7">
        <f>VLOOKUP(E99,DISTANCE!$1:$1048576,6,0)</f>
        <v>8.0299999999999994</v>
      </c>
      <c r="K99" s="6" t="str">
        <f t="shared" si="23"/>
        <v/>
      </c>
    </row>
    <row r="100" spans="1:11" x14ac:dyDescent="0.25">
      <c r="A100" s="10" t="s">
        <v>635</v>
      </c>
      <c r="C100" s="6">
        <v>4</v>
      </c>
      <c r="D100" s="6" t="s">
        <v>315</v>
      </c>
      <c r="E100" s="6" t="str">
        <f>VLOOKUP(A100,COV!$1:$1048576,2,0)</f>
        <v>RJ14GT9482SW</v>
      </c>
      <c r="F100" s="17">
        <f>VLOOKUP(E100,DISTANCE!$1:$1048576,2,0)</f>
        <v>0.31874999999999998</v>
      </c>
      <c r="G100" s="17">
        <f>VLOOKUP(E100,DISTANCE!$1:$1048576,3,0)</f>
        <v>0.62152777777777779</v>
      </c>
      <c r="H100" s="18">
        <f>VLOOKUP(E100,DISTANCE!$1:$1048576,4,0)</f>
        <v>0.30282407407407408</v>
      </c>
      <c r="I100" s="7">
        <f>VLOOKUP(E100,DISTANCE!$1:$1048576,5,0)</f>
        <v>16.23</v>
      </c>
      <c r="J100" s="7">
        <f>VLOOKUP(E100,DISTANCE!$1:$1048576,6,0)</f>
        <v>2.23</v>
      </c>
      <c r="K100" s="6" t="str">
        <f t="shared" si="23"/>
        <v/>
      </c>
    </row>
    <row r="101" spans="1:11" x14ac:dyDescent="0.25">
      <c r="A101" s="10" t="s">
        <v>636</v>
      </c>
      <c r="C101" s="6">
        <v>5</v>
      </c>
      <c r="D101" s="6" t="s">
        <v>315</v>
      </c>
      <c r="E101" s="6" t="str">
        <f>VLOOKUP(A101,COV!$1:$1048576,2,0)</f>
        <v>RJ14GT9481SW</v>
      </c>
      <c r="F101" s="17">
        <f>VLOOKUP(E101,DISTANCE!$1:$1048576,2,0)</f>
        <v>0.29722222222222222</v>
      </c>
      <c r="G101" s="17">
        <f>VLOOKUP(E101,DISTANCE!$1:$1048576,3,0)</f>
        <v>0.53055555555555556</v>
      </c>
      <c r="H101" s="18">
        <f>VLOOKUP(E101,DISTANCE!$1:$1048576,4,0)</f>
        <v>0.23349537037037038</v>
      </c>
      <c r="I101" s="7">
        <f>VLOOKUP(E101,DISTANCE!$1:$1048576,5,0)</f>
        <v>33.43</v>
      </c>
      <c r="J101" s="7">
        <f>VLOOKUP(E101,DISTANCE!$1:$1048576,6,0)</f>
        <v>5.96</v>
      </c>
      <c r="K101" s="6" t="str">
        <f t="shared" si="23"/>
        <v/>
      </c>
    </row>
    <row r="102" spans="1:11" x14ac:dyDescent="0.25">
      <c r="A102" s="10" t="s">
        <v>637</v>
      </c>
      <c r="C102" s="6">
        <v>6</v>
      </c>
      <c r="D102" s="6" t="s">
        <v>315</v>
      </c>
      <c r="E102" s="6" t="str">
        <f>VLOOKUP(A102,COV!$1:$1048576,2,0)</f>
        <v>RJ14GT9451SW</v>
      </c>
      <c r="F102" s="17">
        <f>VLOOKUP(E102,DISTANCE!$1:$1048576,2,0)</f>
        <v>0.22500000000000001</v>
      </c>
      <c r="G102" s="17">
        <f>VLOOKUP(E102,DISTANCE!$1:$1048576,3,0)</f>
        <v>0.48055555555555557</v>
      </c>
      <c r="H102" s="18">
        <f>VLOOKUP(E102,DISTANCE!$1:$1048576,4,0)</f>
        <v>0.25559027777777776</v>
      </c>
      <c r="I102" s="7">
        <f>VLOOKUP(E102,DISTANCE!$1:$1048576,5,0)</f>
        <v>24.39</v>
      </c>
      <c r="J102" s="7">
        <f>VLOOKUP(E102,DISTANCE!$1:$1048576,6,0)</f>
        <v>3.98</v>
      </c>
      <c r="K102" s="6" t="str">
        <f t="shared" si="23"/>
        <v/>
      </c>
    </row>
    <row r="103" spans="1:11" x14ac:dyDescent="0.25">
      <c r="A103" s="10" t="s">
        <v>638</v>
      </c>
      <c r="C103" s="6">
        <v>7</v>
      </c>
      <c r="D103" s="6" t="s">
        <v>316</v>
      </c>
      <c r="E103" s="6" t="str">
        <f>VLOOKUP(A103,COV!$1:$1048576,2,0)</f>
        <v>RJ14GT8166SW</v>
      </c>
      <c r="F103" s="17">
        <f>VLOOKUP(E103,DISTANCE!$1:$1048576,2,0)</f>
        <v>0.30069444444444443</v>
      </c>
      <c r="G103" s="17">
        <f>VLOOKUP(E103,DISTANCE!$1:$1048576,3,0)</f>
        <v>0.39861111111111114</v>
      </c>
      <c r="H103" s="18">
        <f>VLOOKUP(E103,DISTANCE!$1:$1048576,4,0)</f>
        <v>9.7870370370370371E-2</v>
      </c>
      <c r="I103" s="7">
        <f>VLOOKUP(E103,DISTANCE!$1:$1048576,5,0)</f>
        <v>13.7</v>
      </c>
      <c r="J103" s="7">
        <f>VLOOKUP(E103,DISTANCE!$1:$1048576,6,0)</f>
        <v>5.83</v>
      </c>
      <c r="K103" s="6" t="str">
        <f t="shared" si="23"/>
        <v/>
      </c>
    </row>
    <row r="104" spans="1:11" x14ac:dyDescent="0.25">
      <c r="A104" s="10" t="s">
        <v>639</v>
      </c>
      <c r="C104" s="6">
        <v>8</v>
      </c>
      <c r="D104" s="6" t="s">
        <v>316</v>
      </c>
      <c r="E104" s="6" t="str">
        <f>VLOOKUP(A104,COV!$1:$1048576,2,0)</f>
        <v>SVE15117SW</v>
      </c>
      <c r="F104" s="17">
        <f>VLOOKUP(E104,DISTANCE!$1:$1048576,2,0)</f>
        <v>0.21180555555555555</v>
      </c>
      <c r="G104" s="17">
        <f>VLOOKUP(E104,DISTANCE!$1:$1048576,3,0)</f>
        <v>0.47430555555555554</v>
      </c>
      <c r="H104" s="18">
        <f>VLOOKUP(E104,DISTANCE!$1:$1048576,4,0)</f>
        <v>0.26188657407407406</v>
      </c>
      <c r="I104" s="7">
        <f>VLOOKUP(E104,DISTANCE!$1:$1048576,5,0)</f>
        <v>16.510000000000002</v>
      </c>
      <c r="J104" s="7">
        <f>VLOOKUP(E104,DISTANCE!$1:$1048576,6,0)</f>
        <v>2.63</v>
      </c>
      <c r="K104" s="6" t="str">
        <f t="shared" ref="K104:K106" si="24">IF(I104&lt;8,"NOT WORKED","")</f>
        <v/>
      </c>
    </row>
    <row r="105" spans="1:11" x14ac:dyDescent="0.25">
      <c r="A105" s="10" t="s">
        <v>640</v>
      </c>
      <c r="C105" s="6">
        <v>9</v>
      </c>
      <c r="D105" s="6" t="s">
        <v>317</v>
      </c>
      <c r="E105" s="6" t="str">
        <f>VLOOKUP(A105,COV!$1:$1048576,2,0)</f>
        <v>RJ14GT9456SW</v>
      </c>
      <c r="F105" s="17">
        <f>VLOOKUP(E105,DISTANCE!$1:$1048576,2,0)</f>
        <v>0.31041666666666667</v>
      </c>
      <c r="G105" s="17">
        <f>VLOOKUP(E105,DISTANCE!$1:$1048576,3,0)</f>
        <v>0.55277777777777781</v>
      </c>
      <c r="H105" s="18">
        <f>VLOOKUP(E105,DISTANCE!$1:$1048576,4,0)</f>
        <v>0.24269675925925926</v>
      </c>
      <c r="I105" s="7">
        <f>VLOOKUP(E105,DISTANCE!$1:$1048576,5,0)</f>
        <v>25.56</v>
      </c>
      <c r="J105" s="7">
        <f>VLOOKUP(E105,DISTANCE!$1:$1048576,6,0)</f>
        <v>4.3899999999999997</v>
      </c>
      <c r="K105" s="6" t="str">
        <f t="shared" si="24"/>
        <v/>
      </c>
    </row>
    <row r="106" spans="1:11" x14ac:dyDescent="0.25">
      <c r="A106" s="10" t="s">
        <v>641</v>
      </c>
      <c r="C106" s="6">
        <v>10</v>
      </c>
      <c r="D106" s="6" t="s">
        <v>317</v>
      </c>
      <c r="E106" s="6" t="str">
        <f>VLOOKUP(A106,COV!$1:$1048576,2,0)</f>
        <v>RJ14GT8167SW</v>
      </c>
      <c r="F106" s="17">
        <f>VLOOKUP(E106,DISTANCE!$1:$1048576,2,0)</f>
        <v>0.30555555555555558</v>
      </c>
      <c r="G106" s="17">
        <f>VLOOKUP(E106,DISTANCE!$1:$1048576,3,0)</f>
        <v>0.50069444444444444</v>
      </c>
      <c r="H106" s="18">
        <f>VLOOKUP(E106,DISTANCE!$1:$1048576,4,0)</f>
        <v>0.1948148148148148</v>
      </c>
      <c r="I106" s="7">
        <f>VLOOKUP(E106,DISTANCE!$1:$1048576,5,0)</f>
        <v>21.05</v>
      </c>
      <c r="J106" s="7">
        <f>VLOOKUP(E106,DISTANCE!$1:$1048576,6,0)</f>
        <v>4.5</v>
      </c>
      <c r="K106" s="6" t="str">
        <f t="shared" si="24"/>
        <v/>
      </c>
    </row>
    <row r="107" spans="1:11" x14ac:dyDescent="0.25">
      <c r="A107" s="10" t="s">
        <v>642</v>
      </c>
      <c r="C107" s="6">
        <v>11</v>
      </c>
      <c r="D107" s="6" t="s">
        <v>318</v>
      </c>
      <c r="E107" s="6" t="str">
        <f>VLOOKUP(A107,COV!$1:$1048576,2,0)</f>
        <v>RJ14GT9485SW</v>
      </c>
      <c r="F107" s="17">
        <f>VLOOKUP(E107,DISTANCE!$1:$1048576,2,0)</f>
        <v>0.28958333333333336</v>
      </c>
      <c r="G107" s="17">
        <f>VLOOKUP(E107,DISTANCE!$1:$1048576,3,0)</f>
        <v>0.52152777777777781</v>
      </c>
      <c r="H107" s="18">
        <f>VLOOKUP(E107,DISTANCE!$1:$1048576,4,0)</f>
        <v>0.23234953703703703</v>
      </c>
      <c r="I107" s="7">
        <f>VLOOKUP(E107,DISTANCE!$1:$1048576,5,0)</f>
        <v>20.81</v>
      </c>
      <c r="J107" s="7">
        <f>VLOOKUP(E107,DISTANCE!$1:$1048576,6,0)</f>
        <v>3.73</v>
      </c>
      <c r="K107" s="6" t="str">
        <f t="shared" ref="K107" si="25">IF(I107&lt;8,"NOT WORKED","")</f>
        <v/>
      </c>
    </row>
    <row r="108" spans="1:11" x14ac:dyDescent="0.25">
      <c r="A108" s="10" t="s">
        <v>643</v>
      </c>
      <c r="C108" s="6">
        <v>12</v>
      </c>
      <c r="D108" s="6" t="s">
        <v>318</v>
      </c>
      <c r="E108" s="6" t="str">
        <f>VLOOKUP(A108,COV!$1:$1048576,2,0)</f>
        <v>RJ14GT8159SW</v>
      </c>
      <c r="F108" s="17">
        <f>VLOOKUP(E108,DISTANCE!$1:$1048576,2,0)</f>
        <v>0.31041666666666667</v>
      </c>
      <c r="G108" s="17">
        <f>VLOOKUP(E108,DISTANCE!$1:$1048576,3,0)</f>
        <v>0.58750000000000002</v>
      </c>
      <c r="H108" s="18">
        <f>VLOOKUP(E108,DISTANCE!$1:$1048576,4,0)</f>
        <v>0.27721064814814816</v>
      </c>
      <c r="I108" s="7">
        <f>VLOOKUP(E108,DISTANCE!$1:$1048576,5,0)</f>
        <v>25.18</v>
      </c>
      <c r="J108" s="7">
        <f>VLOOKUP(E108,DISTANCE!$1:$1048576,6,0)</f>
        <v>3.78</v>
      </c>
      <c r="K108" s="6" t="str">
        <f t="shared" ref="K108" si="26">IF(I108&lt;8,"NOT WORKED","")</f>
        <v/>
      </c>
    </row>
    <row r="109" spans="1:11" x14ac:dyDescent="0.25">
      <c r="A109" s="10" t="s">
        <v>644</v>
      </c>
      <c r="C109" s="6">
        <v>13</v>
      </c>
      <c r="D109" s="6" t="s">
        <v>318</v>
      </c>
      <c r="E109" s="6" t="str">
        <f>VLOOKUP(A109,COV!$1:$1048576,2,0)</f>
        <v>RJ14GT8238CM</v>
      </c>
      <c r="F109" s="53" t="s">
        <v>760</v>
      </c>
      <c r="G109" s="54"/>
      <c r="H109" s="54"/>
      <c r="I109" s="54"/>
      <c r="J109" s="54"/>
      <c r="K109" s="55"/>
    </row>
    <row r="110" spans="1:11" x14ac:dyDescent="0.25">
      <c r="A110" s="10" t="s">
        <v>645</v>
      </c>
      <c r="C110" s="6">
        <v>14</v>
      </c>
      <c r="D110" s="6" t="s">
        <v>319</v>
      </c>
      <c r="E110" s="6" t="str">
        <f>VLOOKUP(A110,COV!$1:$1048576,2,0)</f>
        <v>RJ14GT8914CM</v>
      </c>
      <c r="F110" s="17">
        <f>VLOOKUP(E110,DISTANCE!$1:$1048576,2,0)</f>
        <v>0.29583333333333334</v>
      </c>
      <c r="G110" s="17">
        <f>VLOOKUP(E110,DISTANCE!$1:$1048576,3,0)</f>
        <v>0.44791666666666669</v>
      </c>
      <c r="H110" s="18">
        <f>VLOOKUP(E110,DISTANCE!$1:$1048576,4,0)</f>
        <v>0.15200231481481483</v>
      </c>
      <c r="I110" s="7">
        <f>VLOOKUP(E110,DISTANCE!$1:$1048576,5,0)</f>
        <v>18.84</v>
      </c>
      <c r="J110" s="7">
        <f>VLOOKUP(E110,DISTANCE!$1:$1048576,6,0)</f>
        <v>5.16</v>
      </c>
      <c r="K110" s="6" t="str">
        <f t="shared" ref="K110" si="27">IF(I110&lt;8,"NOT WORKED","")</f>
        <v/>
      </c>
    </row>
    <row r="111" spans="1:11" x14ac:dyDescent="0.25">
      <c r="A111" s="10" t="s">
        <v>646</v>
      </c>
      <c r="C111" s="6">
        <v>15</v>
      </c>
      <c r="D111" s="6" t="s">
        <v>319</v>
      </c>
      <c r="E111" s="6" t="str">
        <f>VLOOKUP(A111,COV!$1:$1048576,2,0)</f>
        <v>RJ14GT9454SW</v>
      </c>
      <c r="F111" s="17">
        <f>VLOOKUP(E111,DISTANCE!$1:$1048576,2,0)</f>
        <v>0.28819444444444442</v>
      </c>
      <c r="G111" s="17">
        <f>VLOOKUP(E111,DISTANCE!$1:$1048576,3,0)</f>
        <v>0.56805555555555554</v>
      </c>
      <c r="H111" s="18">
        <f>VLOOKUP(E111,DISTANCE!$1:$1048576,4,0)</f>
        <v>0.27945601851851853</v>
      </c>
      <c r="I111" s="7">
        <f>VLOOKUP(E111,DISTANCE!$1:$1048576,5,0)</f>
        <v>16.2</v>
      </c>
      <c r="J111" s="7">
        <f>VLOOKUP(E111,DISTANCE!$1:$1048576,6,0)</f>
        <v>2.42</v>
      </c>
      <c r="K111" s="6" t="str">
        <f t="shared" ref="K111" si="28">IF(I111&lt;8,"NOT WORKED","")</f>
        <v/>
      </c>
    </row>
    <row r="112" spans="1:11" x14ac:dyDescent="0.25">
      <c r="A112" s="10" t="s">
        <v>647</v>
      </c>
      <c r="C112" s="6">
        <v>16</v>
      </c>
      <c r="D112" s="6" t="s">
        <v>319</v>
      </c>
      <c r="E112" s="6" t="str">
        <f>VLOOKUP(A112,COV!$1:$1048576,2,0)</f>
        <v>RJ14GT8917SW</v>
      </c>
      <c r="F112" s="17">
        <f>VLOOKUP(E112,DISTANCE!$1:$1048576,2,0)</f>
        <v>0.3125</v>
      </c>
      <c r="G112" s="17">
        <f>VLOOKUP(E112,DISTANCE!$1:$1048576,3,0)</f>
        <v>0.4548611111111111</v>
      </c>
      <c r="H112" s="18">
        <f>VLOOKUP(E112,DISTANCE!$1:$1048576,4,0)</f>
        <v>0.14217592592592593</v>
      </c>
      <c r="I112" s="7">
        <f>VLOOKUP(E112,DISTANCE!$1:$1048576,5,0)</f>
        <v>15.71</v>
      </c>
      <c r="J112" s="7">
        <f>VLOOKUP(E112,DISTANCE!$1:$1048576,6,0)</f>
        <v>4.6100000000000003</v>
      </c>
      <c r="K112" s="6" t="str">
        <f t="shared" ref="K112" si="29">IF(I112&lt;8,"NOT WORKED","")</f>
        <v/>
      </c>
    </row>
    <row r="113" spans="1:11" x14ac:dyDescent="0.25">
      <c r="A113" s="10" t="s">
        <v>648</v>
      </c>
      <c r="C113" s="6">
        <v>17</v>
      </c>
      <c r="D113" s="6" t="s">
        <v>320</v>
      </c>
      <c r="E113" s="6" t="str">
        <f>VLOOKUP(A113,COV!$1:$1048576,2,0)</f>
        <v>RJ14GT9493SW</v>
      </c>
      <c r="F113" s="17">
        <f>VLOOKUP(E113,DISTANCE!$1:$1048576,2,0)</f>
        <v>0</v>
      </c>
      <c r="G113" s="17">
        <f>VLOOKUP(E113,DISTANCE!$1:$1048576,3,0)</f>
        <v>0.65972222222222221</v>
      </c>
      <c r="H113" s="18">
        <f>VLOOKUP(E113,DISTANCE!$1:$1048576,4,0)</f>
        <v>0.66027777777777774</v>
      </c>
      <c r="I113" s="7">
        <f>VLOOKUP(E113,DISTANCE!$1:$1048576,5,0)</f>
        <v>21.5</v>
      </c>
      <c r="J113" s="7">
        <f>VLOOKUP(E113,DISTANCE!$1:$1048576,6,0)</f>
        <v>1.36</v>
      </c>
      <c r="K113" s="6" t="str">
        <f t="shared" ref="K113:K128" si="30">IF(I113&lt;8,"NOT WORKED","")</f>
        <v/>
      </c>
    </row>
    <row r="114" spans="1:11" x14ac:dyDescent="0.25">
      <c r="A114" s="10" t="s">
        <v>649</v>
      </c>
      <c r="C114" s="6">
        <v>18</v>
      </c>
      <c r="D114" s="6" t="s">
        <v>320</v>
      </c>
      <c r="E114" s="6" t="str">
        <f>VLOOKUP(A114,COV!$1:$1048576,2,0)</f>
        <v>RJ14GT9457SW</v>
      </c>
      <c r="F114" s="17">
        <f>VLOOKUP(E114,DISTANCE!$1:$1048576,2,0)</f>
        <v>0.2902777777777778</v>
      </c>
      <c r="G114" s="17">
        <f>VLOOKUP(E114,DISTANCE!$1:$1048576,3,0)</f>
        <v>0.39513888888888887</v>
      </c>
      <c r="H114" s="18">
        <f>VLOOKUP(E114,DISTANCE!$1:$1048576,4,0)</f>
        <v>0.10453703703703704</v>
      </c>
      <c r="I114" s="7">
        <f>VLOOKUP(E114,DISTANCE!$1:$1048576,5,0)</f>
        <v>14.65</v>
      </c>
      <c r="J114" s="7">
        <f>VLOOKUP(E114,DISTANCE!$1:$1048576,6,0)</f>
        <v>5.84</v>
      </c>
      <c r="K114" s="6" t="str">
        <f t="shared" ref="K114" si="31">IF(I114&lt;8,"NOT WORKED","")</f>
        <v/>
      </c>
    </row>
    <row r="115" spans="1:11" x14ac:dyDescent="0.25">
      <c r="A115" s="10" t="s">
        <v>650</v>
      </c>
      <c r="C115" s="6">
        <v>19</v>
      </c>
      <c r="D115" s="6" t="s">
        <v>321</v>
      </c>
      <c r="E115" s="6" t="str">
        <f>VLOOKUP(A115,COV!$1:$1048576,2,0)</f>
        <v>RJ14GT9970</v>
      </c>
      <c r="F115" s="17">
        <f>VLOOKUP(E115,DISTANCE!$1:$1048576,2,0)</f>
        <v>0.28958333333333336</v>
      </c>
      <c r="G115" s="17">
        <f>VLOOKUP(E115,DISTANCE!$1:$1048576,3,0)</f>
        <v>0.42708333333333331</v>
      </c>
      <c r="H115" s="18">
        <f>VLOOKUP(E115,DISTANCE!$1:$1048576,4,0)</f>
        <v>0.13740740740740739</v>
      </c>
      <c r="I115" s="7">
        <f>VLOOKUP(E115,DISTANCE!$1:$1048576,5,0)</f>
        <v>11.63</v>
      </c>
      <c r="J115" s="7">
        <f>VLOOKUP(E115,DISTANCE!$1:$1048576,6,0)</f>
        <v>3.53</v>
      </c>
      <c r="K115" s="6" t="str">
        <f t="shared" si="30"/>
        <v/>
      </c>
    </row>
    <row r="116" spans="1:11" x14ac:dyDescent="0.25">
      <c r="A116" s="10" t="s">
        <v>651</v>
      </c>
      <c r="C116" s="6">
        <v>20</v>
      </c>
      <c r="D116" s="6" t="s">
        <v>321</v>
      </c>
      <c r="E116" s="6" t="str">
        <f>VLOOKUP(A116,COV!$1:$1048576,2,0)</f>
        <v>RJ14GT9477SW</v>
      </c>
      <c r="F116" s="17">
        <f>VLOOKUP(E116,DISTANCE!$1:$1048576,2,0)</f>
        <v>0.32916666666666666</v>
      </c>
      <c r="G116" s="17">
        <f>VLOOKUP(E116,DISTANCE!$1:$1048576,3,0)</f>
        <v>0.51249999999999996</v>
      </c>
      <c r="H116" s="18">
        <f>VLOOKUP(E116,DISTANCE!$1:$1048576,4,0)</f>
        <v>0.18325231481481483</v>
      </c>
      <c r="I116" s="7">
        <f>VLOOKUP(E116,DISTANCE!$1:$1048576,5,0)</f>
        <v>17.43</v>
      </c>
      <c r="J116" s="7">
        <f>VLOOKUP(E116,DISTANCE!$1:$1048576,6,0)</f>
        <v>3.96</v>
      </c>
      <c r="K116" s="6" t="str">
        <f t="shared" si="30"/>
        <v/>
      </c>
    </row>
    <row r="117" spans="1:11" x14ac:dyDescent="0.25">
      <c r="A117" s="10" t="s">
        <v>652</v>
      </c>
      <c r="C117" s="6">
        <v>21</v>
      </c>
      <c r="D117" s="6" t="s">
        <v>322</v>
      </c>
      <c r="E117" s="6" t="str">
        <f>VLOOKUP(A117,COV!$1:$1048576,2,0)</f>
        <v>RJ14GT8964SW</v>
      </c>
      <c r="F117" s="17">
        <f>VLOOKUP(E117,DISTANCE!$1:$1048576,2,0)</f>
        <v>0.27361111111111114</v>
      </c>
      <c r="G117" s="17">
        <f>VLOOKUP(E117,DISTANCE!$1:$1048576,3,0)</f>
        <v>0.66319444444444442</v>
      </c>
      <c r="H117" s="18">
        <f>VLOOKUP(E117,DISTANCE!$1:$1048576,4,0)</f>
        <v>0.38928240740740738</v>
      </c>
      <c r="I117" s="7">
        <f>VLOOKUP(E117,DISTANCE!$1:$1048576,5,0)</f>
        <v>40.69</v>
      </c>
      <c r="J117" s="7">
        <f>VLOOKUP(E117,DISTANCE!$1:$1048576,6,0)</f>
        <v>4.3600000000000003</v>
      </c>
      <c r="K117" s="6" t="str">
        <f t="shared" si="30"/>
        <v/>
      </c>
    </row>
    <row r="118" spans="1:11" x14ac:dyDescent="0.25">
      <c r="A118" s="10" t="s">
        <v>653</v>
      </c>
      <c r="C118" s="6">
        <v>22</v>
      </c>
      <c r="D118" s="6" t="s">
        <v>322</v>
      </c>
      <c r="E118" s="6" t="str">
        <f>VLOOKUP(A118,COV!$1:$1048576,2,0)</f>
        <v>RJ14GT9478SW</v>
      </c>
      <c r="F118" s="17">
        <f>VLOOKUP(E118,DISTANCE!$1:$1048576,2,0)</f>
        <v>0.29791666666666666</v>
      </c>
      <c r="G118" s="17">
        <f>VLOOKUP(E118,DISTANCE!$1:$1048576,3,0)</f>
        <v>0.60416666666666663</v>
      </c>
      <c r="H118" s="18">
        <f>VLOOKUP(E118,DISTANCE!$1:$1048576,4,0)</f>
        <v>0.30662037037037038</v>
      </c>
      <c r="I118" s="7">
        <f>VLOOKUP(E118,DISTANCE!$1:$1048576,5,0)</f>
        <v>30.88</v>
      </c>
      <c r="J118" s="7">
        <f>VLOOKUP(E118,DISTANCE!$1:$1048576,6,0)</f>
        <v>4.2</v>
      </c>
      <c r="K118" s="6" t="str">
        <f t="shared" si="30"/>
        <v/>
      </c>
    </row>
    <row r="119" spans="1:11" x14ac:dyDescent="0.25">
      <c r="A119" s="10" t="s">
        <v>654</v>
      </c>
      <c r="C119" s="6">
        <v>23</v>
      </c>
      <c r="D119" s="6" t="s">
        <v>322</v>
      </c>
      <c r="E119" s="6" t="str">
        <f>VLOOKUP(A119,COV!$1:$1048576,2,0)</f>
        <v>RJ14GT8301CM</v>
      </c>
      <c r="F119" s="17">
        <f>VLOOKUP(E119,DISTANCE!$1:$1048576,2,0)</f>
        <v>0.31180555555555556</v>
      </c>
      <c r="G119" s="17">
        <f>VLOOKUP(E119,DISTANCE!$1:$1048576,3,0)</f>
        <v>0.49444444444444446</v>
      </c>
      <c r="H119" s="18">
        <f>VLOOKUP(E119,DISTANCE!$1:$1048576,4,0)</f>
        <v>0.18306712962962962</v>
      </c>
      <c r="I119" s="7">
        <f>VLOOKUP(E119,DISTANCE!$1:$1048576,5,0)</f>
        <v>22.88</v>
      </c>
      <c r="J119" s="7">
        <f>VLOOKUP(E119,DISTANCE!$1:$1048576,6,0)</f>
        <v>5.21</v>
      </c>
      <c r="K119" s="6" t="str">
        <f t="shared" si="30"/>
        <v/>
      </c>
    </row>
    <row r="120" spans="1:11" x14ac:dyDescent="0.25">
      <c r="A120" s="10" t="s">
        <v>655</v>
      </c>
      <c r="C120" s="6">
        <v>24</v>
      </c>
      <c r="D120" s="6" t="s">
        <v>323</v>
      </c>
      <c r="E120" s="6" t="str">
        <f>VLOOKUP(A120,COV!$1:$1048576,2,0)</f>
        <v>RJ14GT8931SW</v>
      </c>
      <c r="F120" s="17">
        <f>VLOOKUP(E120,DISTANCE!$1:$1048576,2,0)</f>
        <v>0.15277777777777779</v>
      </c>
      <c r="G120" s="17">
        <f>VLOOKUP(E120,DISTANCE!$1:$1048576,3,0)</f>
        <v>0.59930555555555554</v>
      </c>
      <c r="H120" s="18">
        <f>VLOOKUP(E120,DISTANCE!$1:$1048576,4,0)</f>
        <v>0.44631944444444444</v>
      </c>
      <c r="I120" s="7">
        <f>VLOOKUP(E120,DISTANCE!$1:$1048576,5,0)</f>
        <v>25.98</v>
      </c>
      <c r="J120" s="7">
        <f>VLOOKUP(E120,DISTANCE!$1:$1048576,6,0)</f>
        <v>2.4300000000000002</v>
      </c>
      <c r="K120" s="6" t="str">
        <f t="shared" si="30"/>
        <v/>
      </c>
    </row>
    <row r="121" spans="1:11" x14ac:dyDescent="0.25">
      <c r="A121" s="10" t="s">
        <v>656</v>
      </c>
      <c r="C121" s="6">
        <v>25</v>
      </c>
      <c r="D121" s="6" t="s">
        <v>323</v>
      </c>
      <c r="E121" s="6" t="str">
        <f>VLOOKUP(A121,COV!$1:$1048576,2,0)</f>
        <v>RJ14GT8131CM</v>
      </c>
      <c r="F121" s="17">
        <f>VLOOKUP(E121,DISTANCE!$1:$1048576,2,0)</f>
        <v>0.32430555555555557</v>
      </c>
      <c r="G121" s="17">
        <f>VLOOKUP(E121,DISTANCE!$1:$1048576,3,0)</f>
        <v>0.42777777777777776</v>
      </c>
      <c r="H121" s="18">
        <f>VLOOKUP(E121,DISTANCE!$1:$1048576,4,0)</f>
        <v>0.1030787037037037</v>
      </c>
      <c r="I121" s="7">
        <f>VLOOKUP(E121,DISTANCE!$1:$1048576,5,0)</f>
        <v>12.36</v>
      </c>
      <c r="J121" s="7">
        <f>VLOOKUP(E121,DISTANCE!$1:$1048576,6,0)</f>
        <v>5</v>
      </c>
      <c r="K121" s="6" t="str">
        <f t="shared" si="30"/>
        <v/>
      </c>
    </row>
    <row r="122" spans="1:11" x14ac:dyDescent="0.25">
      <c r="A122" s="10" t="s">
        <v>657</v>
      </c>
      <c r="C122" s="6">
        <v>26</v>
      </c>
      <c r="D122" s="6" t="s">
        <v>323</v>
      </c>
      <c r="E122" s="6" t="str">
        <f>VLOOKUP(A122,COV!$1:$1048576,2,0)</f>
        <v>RJ14GT9455SW</v>
      </c>
      <c r="F122" s="17">
        <f>VLOOKUP(E122,DISTANCE!$1:$1048576,2,0)</f>
        <v>0.35416666666666669</v>
      </c>
      <c r="G122" s="17">
        <f>VLOOKUP(E122,DISTANCE!$1:$1048576,3,0)</f>
        <v>0.54861111111111116</v>
      </c>
      <c r="H122" s="18">
        <f>VLOOKUP(E122,DISTANCE!$1:$1048576,4,0)</f>
        <v>0.19420138888888888</v>
      </c>
      <c r="I122" s="7">
        <f>VLOOKUP(E122,DISTANCE!$1:$1048576,5,0)</f>
        <v>19.850000000000001</v>
      </c>
      <c r="J122" s="7">
        <f>VLOOKUP(E122,DISTANCE!$1:$1048576,6,0)</f>
        <v>4.26</v>
      </c>
      <c r="K122" s="6" t="str">
        <f t="shared" si="30"/>
        <v/>
      </c>
    </row>
    <row r="123" spans="1:11" x14ac:dyDescent="0.25">
      <c r="A123" s="10" t="s">
        <v>658</v>
      </c>
      <c r="C123" s="6">
        <v>27</v>
      </c>
      <c r="D123" s="6" t="s">
        <v>324</v>
      </c>
      <c r="E123" s="6" t="str">
        <f>VLOOKUP(A123,COV!$1:$1048576,2,0)</f>
        <v>RJ14GU0637</v>
      </c>
      <c r="F123" s="17">
        <f>VLOOKUP(E123,DISTANCE!$1:$1048576,2,0)</f>
        <v>0.30555555555555558</v>
      </c>
      <c r="G123" s="17">
        <f>VLOOKUP(E123,DISTANCE!$1:$1048576,3,0)</f>
        <v>0.46666666666666667</v>
      </c>
      <c r="H123" s="18">
        <f>VLOOKUP(E123,DISTANCE!$1:$1048576,4,0)</f>
        <v>0.16078703703703703</v>
      </c>
      <c r="I123" s="7">
        <f>VLOOKUP(E123,DISTANCE!$1:$1048576,5,0)</f>
        <v>21.17</v>
      </c>
      <c r="J123" s="7">
        <f>VLOOKUP(E123,DISTANCE!$1:$1048576,6,0)</f>
        <v>5.49</v>
      </c>
      <c r="K123" s="6" t="str">
        <f t="shared" si="30"/>
        <v/>
      </c>
    </row>
    <row r="124" spans="1:11" x14ac:dyDescent="0.25">
      <c r="A124" s="10" t="s">
        <v>659</v>
      </c>
      <c r="C124" s="6">
        <v>28</v>
      </c>
      <c r="D124" s="6" t="s">
        <v>324</v>
      </c>
      <c r="E124" s="6" t="str">
        <f>VLOOKUP(A124,COV!$1:$1048576,2,0)</f>
        <v>RJ14GT9968CM</v>
      </c>
      <c r="F124" s="17">
        <f>VLOOKUP(E124,DISTANCE!$1:$1048576,2,0)</f>
        <v>0.29305555555555557</v>
      </c>
      <c r="G124" s="17">
        <f>VLOOKUP(E124,DISTANCE!$1:$1048576,3,0)</f>
        <v>0.45208333333333334</v>
      </c>
      <c r="H124" s="18">
        <f>VLOOKUP(E124,DISTANCE!$1:$1048576,4,0)</f>
        <v>0.15940972222222222</v>
      </c>
      <c r="I124" s="7">
        <f>VLOOKUP(E124,DISTANCE!$1:$1048576,5,0)</f>
        <v>16.18</v>
      </c>
      <c r="J124" s="7">
        <f>VLOOKUP(E124,DISTANCE!$1:$1048576,6,0)</f>
        <v>4.2300000000000004</v>
      </c>
      <c r="K124" s="6" t="str">
        <f t="shared" si="30"/>
        <v/>
      </c>
    </row>
    <row r="125" spans="1:11" x14ac:dyDescent="0.25">
      <c r="A125" s="10" t="s">
        <v>660</v>
      </c>
      <c r="C125" s="6">
        <v>29</v>
      </c>
      <c r="D125" s="6" t="s">
        <v>325</v>
      </c>
      <c r="E125" s="6" t="str">
        <f>VLOOKUP(A125,COV!$1:$1048576,2,0)</f>
        <v>RJ14GT9463SW</v>
      </c>
      <c r="F125" s="17">
        <f>VLOOKUP(E125,DISTANCE!$1:$1048576,2,0)</f>
        <v>0.36388888888888887</v>
      </c>
      <c r="G125" s="17">
        <f>VLOOKUP(E125,DISTANCE!$1:$1048576,3,0)</f>
        <v>0.59375</v>
      </c>
      <c r="H125" s="18">
        <f>VLOOKUP(E125,DISTANCE!$1:$1048576,4,0)</f>
        <v>0.22956018518518517</v>
      </c>
      <c r="I125" s="7">
        <f>VLOOKUP(E125,DISTANCE!$1:$1048576,5,0)</f>
        <v>35.47</v>
      </c>
      <c r="J125" s="7">
        <f>VLOOKUP(E125,DISTANCE!$1:$1048576,6,0)</f>
        <v>6.44</v>
      </c>
      <c r="K125" s="6" t="str">
        <f t="shared" si="30"/>
        <v/>
      </c>
    </row>
    <row r="126" spans="1:11" x14ac:dyDescent="0.25">
      <c r="A126" s="10" t="s">
        <v>661</v>
      </c>
      <c r="C126" s="6">
        <v>30</v>
      </c>
      <c r="D126" s="6" t="s">
        <v>325</v>
      </c>
      <c r="E126" s="6" t="str">
        <f>VLOOKUP(A126,COV!$1:$1048576,2,0)</f>
        <v>RJ14GT9474SW</v>
      </c>
      <c r="F126" s="17">
        <f>VLOOKUP(E126,DISTANCE!$1:$1048576,2,0)</f>
        <v>0.31736111111111109</v>
      </c>
      <c r="G126" s="17">
        <f>VLOOKUP(E126,DISTANCE!$1:$1048576,3,0)</f>
        <v>0.49722222222222223</v>
      </c>
      <c r="H126" s="18">
        <f>VLOOKUP(E126,DISTANCE!$1:$1048576,4,0)</f>
        <v>0.18013888888888888</v>
      </c>
      <c r="I126" s="7">
        <f>VLOOKUP(E126,DISTANCE!$1:$1048576,5,0)</f>
        <v>17.54</v>
      </c>
      <c r="J126" s="7">
        <f>VLOOKUP(E126,DISTANCE!$1:$1048576,6,0)</f>
        <v>4.0599999999999996</v>
      </c>
      <c r="K126" s="6" t="str">
        <f t="shared" si="30"/>
        <v/>
      </c>
    </row>
    <row r="127" spans="1:11" x14ac:dyDescent="0.25">
      <c r="A127" s="10" t="s">
        <v>662</v>
      </c>
      <c r="C127" s="6">
        <v>31</v>
      </c>
      <c r="D127" s="6" t="s">
        <v>326</v>
      </c>
      <c r="E127" s="6" t="str">
        <f>VLOOKUP(A127,COV!$1:$1048576,2,0)</f>
        <v>RJ14GT8911CM</v>
      </c>
      <c r="F127" s="17">
        <f>VLOOKUP(E127,DISTANCE!$1:$1048576,2,0)</f>
        <v>0.33819444444444446</v>
      </c>
      <c r="G127" s="17">
        <f>VLOOKUP(E127,DISTANCE!$1:$1048576,3,0)</f>
        <v>0.6118055555555556</v>
      </c>
      <c r="H127" s="18">
        <f>VLOOKUP(E127,DISTANCE!$1:$1048576,4,0)</f>
        <v>0.27399305555555553</v>
      </c>
      <c r="I127" s="7">
        <f>VLOOKUP(E127,DISTANCE!$1:$1048576,5,0)</f>
        <v>24.66</v>
      </c>
      <c r="J127" s="7">
        <f>VLOOKUP(E127,DISTANCE!$1:$1048576,6,0)</f>
        <v>3.75</v>
      </c>
      <c r="K127" s="6" t="str">
        <f t="shared" si="30"/>
        <v/>
      </c>
    </row>
    <row r="128" spans="1:11" x14ac:dyDescent="0.25">
      <c r="A128" s="10" t="s">
        <v>663</v>
      </c>
      <c r="C128" s="6">
        <v>32</v>
      </c>
      <c r="D128" s="6" t="s">
        <v>326</v>
      </c>
      <c r="E128" s="6" t="str">
        <f>VLOOKUP(A128,COV!$1:$1048576,2,0)</f>
        <v>RJ14GT9464SW</v>
      </c>
      <c r="F128" s="17">
        <f>VLOOKUP(E128,DISTANCE!$1:$1048576,2,0)</f>
        <v>0.29791666666666666</v>
      </c>
      <c r="G128" s="17">
        <f>VLOOKUP(E128,DISTANCE!$1:$1048576,3,0)</f>
        <v>0.48402777777777778</v>
      </c>
      <c r="H128" s="18">
        <f>VLOOKUP(E128,DISTANCE!$1:$1048576,4,0)</f>
        <v>0.18601851851851853</v>
      </c>
      <c r="I128" s="7">
        <f>VLOOKUP(E128,DISTANCE!$1:$1048576,5,0)</f>
        <v>21.66</v>
      </c>
      <c r="J128" s="7">
        <f>VLOOKUP(E128,DISTANCE!$1:$1048576,6,0)</f>
        <v>4.8499999999999996</v>
      </c>
      <c r="K128" s="6" t="str">
        <f t="shared" si="30"/>
        <v/>
      </c>
    </row>
    <row r="129" spans="1:11" x14ac:dyDescent="0.25">
      <c r="A129" s="10" t="s">
        <v>664</v>
      </c>
      <c r="C129" s="6">
        <v>33</v>
      </c>
      <c r="D129" s="6" t="s">
        <v>326</v>
      </c>
      <c r="E129" s="6" t="str">
        <f>VLOOKUP(A129,COV!$1:$1048576,2,0)</f>
        <v>RJ14GU0642SW</v>
      </c>
      <c r="F129" s="17">
        <f>VLOOKUP(E129,DISTANCE!$1:$1048576,2,0)</f>
        <v>0.29722222222222222</v>
      </c>
      <c r="G129" s="17">
        <f>VLOOKUP(E129,DISTANCE!$1:$1048576,3,0)</f>
        <v>0.47638888888888886</v>
      </c>
      <c r="H129" s="18">
        <f>VLOOKUP(E129,DISTANCE!$1:$1048576,4,0)</f>
        <v>0.17916666666666667</v>
      </c>
      <c r="I129" s="7">
        <f>VLOOKUP(E129,DISTANCE!$1:$1048576,5,0)</f>
        <v>26.03</v>
      </c>
      <c r="J129" s="7">
        <f>VLOOKUP(E129,DISTANCE!$1:$1048576,6,0)</f>
        <v>6.05</v>
      </c>
      <c r="K129" s="6" t="str">
        <f t="shared" ref="K129" si="32">IF(I129&lt;8,"NOT WORKED","")</f>
        <v/>
      </c>
    </row>
    <row r="130" spans="1:11" x14ac:dyDescent="0.25">
      <c r="A130" s="10" t="s">
        <v>665</v>
      </c>
      <c r="C130" s="6">
        <v>34</v>
      </c>
      <c r="D130" s="6" t="s">
        <v>327</v>
      </c>
      <c r="E130" s="6" t="str">
        <f>VLOOKUP(A130,COV!$1:$1048576,2,0)</f>
        <v>RJ14GT9468SW</v>
      </c>
      <c r="F130" s="61" t="s">
        <v>758</v>
      </c>
      <c r="G130" s="62"/>
      <c r="H130" s="62"/>
      <c r="I130" s="62"/>
      <c r="J130" s="62"/>
      <c r="K130" s="63"/>
    </row>
    <row r="131" spans="1:11" x14ac:dyDescent="0.25">
      <c r="A131" s="10" t="s">
        <v>666</v>
      </c>
      <c r="C131" s="6">
        <v>35</v>
      </c>
      <c r="D131" s="6" t="s">
        <v>327</v>
      </c>
      <c r="E131" s="6" t="str">
        <f>VLOOKUP(A131,COV!$1:$1048576,2,0)</f>
        <v>RJ14GU0644SW</v>
      </c>
      <c r="F131" s="53" t="s">
        <v>757</v>
      </c>
      <c r="G131" s="54"/>
      <c r="H131" s="54"/>
      <c r="I131" s="54"/>
      <c r="J131" s="54"/>
      <c r="K131" s="55"/>
    </row>
    <row r="132" spans="1:11" x14ac:dyDescent="0.25">
      <c r="A132" s="10" t="s">
        <v>667</v>
      </c>
      <c r="C132" s="6">
        <v>36</v>
      </c>
      <c r="D132" s="6" t="s">
        <v>328</v>
      </c>
      <c r="E132" s="6" t="str">
        <f>VLOOKUP(A132,COV!$1:$1048576,2,0)</f>
        <v>RJ14GU0629SW</v>
      </c>
      <c r="F132" s="17">
        <f>VLOOKUP(E132,DISTANCE!$1:$1048576,2,0)</f>
        <v>0.34791666666666665</v>
      </c>
      <c r="G132" s="17">
        <f>VLOOKUP(E132,DISTANCE!$1:$1048576,3,0)</f>
        <v>0.52083333333333337</v>
      </c>
      <c r="H132" s="18">
        <f>VLOOKUP(E132,DISTANCE!$1:$1048576,4,0)</f>
        <v>0.17303240740740741</v>
      </c>
      <c r="I132" s="7">
        <f>VLOOKUP(E132,DISTANCE!$1:$1048576,5,0)</f>
        <v>10.43</v>
      </c>
      <c r="J132" s="7">
        <f>VLOOKUP(E132,DISTANCE!$1:$1048576,6,0)</f>
        <v>2.5099999999999998</v>
      </c>
      <c r="K132" s="6" t="str">
        <f t="shared" ref="K131:K133" si="33">IF(I132&lt;8,"NOT WORKED","")</f>
        <v/>
      </c>
    </row>
    <row r="133" spans="1:11" x14ac:dyDescent="0.25">
      <c r="A133" s="10" t="s">
        <v>668</v>
      </c>
      <c r="C133" s="6">
        <v>37</v>
      </c>
      <c r="D133" s="6" t="s">
        <v>328</v>
      </c>
      <c r="E133" s="6" t="str">
        <f>VLOOKUP(A133,COV!$1:$1048576,2,0)</f>
        <v>RJ14GT9484SW</v>
      </c>
      <c r="F133" s="17">
        <f>VLOOKUP(E133,DISTANCE!$1:$1048576,2,0)</f>
        <v>0.33263888888888887</v>
      </c>
      <c r="G133" s="17">
        <f>VLOOKUP(E133,DISTANCE!$1:$1048576,3,0)</f>
        <v>0.43819444444444444</v>
      </c>
      <c r="H133" s="18">
        <f>VLOOKUP(E133,DISTANCE!$1:$1048576,4,0)</f>
        <v>0.10591435185185186</v>
      </c>
      <c r="I133" s="7">
        <f>VLOOKUP(E133,DISTANCE!$1:$1048576,5,0)</f>
        <v>10.9</v>
      </c>
      <c r="J133" s="7">
        <f>VLOOKUP(E133,DISTANCE!$1:$1048576,6,0)</f>
        <v>4.29</v>
      </c>
      <c r="K133" s="6" t="str">
        <f t="shared" si="33"/>
        <v/>
      </c>
    </row>
    <row r="134" spans="1:11" x14ac:dyDescent="0.25">
      <c r="A134" s="10" t="s">
        <v>669</v>
      </c>
      <c r="C134" s="6">
        <v>38</v>
      </c>
      <c r="D134" s="6" t="s">
        <v>329</v>
      </c>
      <c r="E134" s="6" t="str">
        <f>VLOOKUP(A134,COV!$1:$1048576,2,0)</f>
        <v>RJ14GU0643SW</v>
      </c>
      <c r="F134" s="53" t="s">
        <v>757</v>
      </c>
      <c r="G134" s="54"/>
      <c r="H134" s="54"/>
      <c r="I134" s="54"/>
      <c r="J134" s="54"/>
      <c r="K134" s="55"/>
    </row>
    <row r="135" spans="1:11" x14ac:dyDescent="0.25">
      <c r="A135" s="10" t="s">
        <v>670</v>
      </c>
      <c r="C135" s="6">
        <v>39</v>
      </c>
      <c r="D135" s="6" t="s">
        <v>329</v>
      </c>
      <c r="E135" s="6" t="str">
        <f>VLOOKUP(A135,COV!$1:$1048576,2,0)</f>
        <v>RJ14GT9488SW</v>
      </c>
      <c r="F135" s="17">
        <f>VLOOKUP(E135,DISTANCE!$1:$1048576,2,0)</f>
        <v>0.35138888888888886</v>
      </c>
      <c r="G135" s="17">
        <f>VLOOKUP(E135,DISTANCE!$1:$1048576,3,0)</f>
        <v>0.52430555555555558</v>
      </c>
      <c r="H135" s="18">
        <f>VLOOKUP(E135,DISTANCE!$1:$1048576,4,0)</f>
        <v>0.17297453703703702</v>
      </c>
      <c r="I135" s="7">
        <f>VLOOKUP(E135,DISTANCE!$1:$1048576,5,0)</f>
        <v>16.43</v>
      </c>
      <c r="J135" s="7">
        <f>VLOOKUP(E135,DISTANCE!$1:$1048576,6,0)</f>
        <v>3.96</v>
      </c>
      <c r="K135" s="6" t="str">
        <f t="shared" ref="K134:K136" si="34">IF(I135&lt;8,"NOT WORKED","")</f>
        <v/>
      </c>
    </row>
    <row r="136" spans="1:11" x14ac:dyDescent="0.25">
      <c r="A136" s="10" t="s">
        <v>671</v>
      </c>
      <c r="C136" s="6">
        <v>40</v>
      </c>
      <c r="D136" s="6" t="s">
        <v>330</v>
      </c>
      <c r="E136" s="6" t="str">
        <f>VLOOKUP(A136,COV!$1:$1048576,2,0)</f>
        <v>RJ14GT8918SW</v>
      </c>
      <c r="F136" s="17">
        <f>VLOOKUP(E136,DISTANCE!$1:$1048576,2,0)</f>
        <v>0.3527777777777778</v>
      </c>
      <c r="G136" s="17">
        <f>VLOOKUP(E136,DISTANCE!$1:$1048576,3,0)</f>
        <v>0.64930555555555558</v>
      </c>
      <c r="H136" s="18">
        <f>VLOOKUP(E136,DISTANCE!$1:$1048576,4,0)</f>
        <v>0.29643518518518519</v>
      </c>
      <c r="I136" s="7">
        <f>VLOOKUP(E136,DISTANCE!$1:$1048576,5,0)</f>
        <v>27.38</v>
      </c>
      <c r="J136" s="7">
        <f>VLOOKUP(E136,DISTANCE!$1:$1048576,6,0)</f>
        <v>3.85</v>
      </c>
      <c r="K136" s="6" t="str">
        <f t="shared" si="34"/>
        <v/>
      </c>
    </row>
    <row r="137" spans="1:11" x14ac:dyDescent="0.25">
      <c r="A137" s="10" t="s">
        <v>672</v>
      </c>
      <c r="C137" s="6">
        <v>41</v>
      </c>
      <c r="D137" s="6" t="s">
        <v>330</v>
      </c>
      <c r="E137" s="6" t="str">
        <f>VLOOKUP(A137,COV!$1:$1048576,2,0)</f>
        <v>RJ14GB6196SW</v>
      </c>
      <c r="F137" s="17">
        <f>VLOOKUP(E137,DISTANCE!$1:$1048576,2,0)</f>
        <v>0.24444444444444444</v>
      </c>
      <c r="G137" s="17">
        <f>VLOOKUP(E137,DISTANCE!$1:$1048576,3,0)</f>
        <v>0.49652777777777779</v>
      </c>
      <c r="H137" s="18">
        <f>VLOOKUP(E137,DISTANCE!$1:$1048576,4,0)</f>
        <v>0.2517476851851852</v>
      </c>
      <c r="I137" s="7">
        <f>VLOOKUP(E137,DISTANCE!$1:$1048576,5,0)</f>
        <v>80.98</v>
      </c>
      <c r="J137" s="7">
        <f>VLOOKUP(E137,DISTANCE!$1:$1048576,6,0)</f>
        <v>13.4</v>
      </c>
      <c r="K137" s="6" t="str">
        <f t="shared" ref="K135:K147" si="35">IF(I137&lt;8,"NOT WORKED","")</f>
        <v/>
      </c>
    </row>
    <row r="138" spans="1:11" x14ac:dyDescent="0.25">
      <c r="A138" s="10" t="s">
        <v>673</v>
      </c>
      <c r="C138" s="6">
        <v>42</v>
      </c>
      <c r="D138" s="6" t="s">
        <v>331</v>
      </c>
      <c r="E138" s="6" t="str">
        <f>VLOOKUP(A138,COV!$1:$1048576,2,0)</f>
        <v>RJ14GT9466CM</v>
      </c>
      <c r="F138" s="17">
        <f>VLOOKUP(E138,DISTANCE!$1:$1048576,2,0)</f>
        <v>0.26944444444444443</v>
      </c>
      <c r="G138" s="17">
        <f>VLOOKUP(E138,DISTANCE!$1:$1048576,3,0)</f>
        <v>0.45555555555555555</v>
      </c>
      <c r="H138" s="18">
        <f>VLOOKUP(E138,DISTANCE!$1:$1048576,4,0)</f>
        <v>0.18641203703703704</v>
      </c>
      <c r="I138" s="7">
        <f>VLOOKUP(E138,DISTANCE!$1:$1048576,5,0)</f>
        <v>25.52</v>
      </c>
      <c r="J138" s="7">
        <f>VLOOKUP(E138,DISTANCE!$1:$1048576,6,0)</f>
        <v>5.7</v>
      </c>
      <c r="K138" s="6" t="str">
        <f t="shared" si="35"/>
        <v/>
      </c>
    </row>
    <row r="139" spans="1:11" x14ac:dyDescent="0.25">
      <c r="A139" s="10" t="s">
        <v>674</v>
      </c>
      <c r="C139" s="6">
        <v>43</v>
      </c>
      <c r="D139" s="6" t="s">
        <v>331</v>
      </c>
      <c r="E139" s="6" t="str">
        <f>VLOOKUP(A139,COV!$1:$1048576,2,0)</f>
        <v>RJ14GT8154SW</v>
      </c>
      <c r="F139" s="17">
        <f>VLOOKUP(E139,DISTANCE!$1:$1048576,2,0)</f>
        <v>0.32013888888888886</v>
      </c>
      <c r="G139" s="17">
        <f>VLOOKUP(E139,DISTANCE!$1:$1048576,3,0)</f>
        <v>0.46041666666666664</v>
      </c>
      <c r="H139" s="18">
        <f>VLOOKUP(E139,DISTANCE!$1:$1048576,4,0)</f>
        <v>0.13983796296296297</v>
      </c>
      <c r="I139" s="7">
        <f>VLOOKUP(E139,DISTANCE!$1:$1048576,5,0)</f>
        <v>14</v>
      </c>
      <c r="J139" s="7">
        <f>VLOOKUP(E139,DISTANCE!$1:$1048576,6,0)</f>
        <v>4.17</v>
      </c>
      <c r="K139" s="6" t="str">
        <f t="shared" si="35"/>
        <v/>
      </c>
    </row>
    <row r="140" spans="1:11" x14ac:dyDescent="0.25">
      <c r="A140" s="10" t="s">
        <v>675</v>
      </c>
      <c r="C140" s="6">
        <v>44</v>
      </c>
      <c r="D140" s="6" t="s">
        <v>331</v>
      </c>
      <c r="E140" s="6" t="str">
        <f>VLOOKUP(A140,COV!$1:$1048576,2,0)</f>
        <v>RJ14GT9487SW</v>
      </c>
      <c r="F140" s="17">
        <f>VLOOKUP(E140,DISTANCE!$1:$1048576,2,0)</f>
        <v>0.35</v>
      </c>
      <c r="G140" s="17">
        <f>VLOOKUP(E140,DISTANCE!$1:$1048576,3,0)</f>
        <v>0.55763888888888891</v>
      </c>
      <c r="H140" s="18">
        <f>VLOOKUP(E140,DISTANCE!$1:$1048576,4,0)</f>
        <v>0.2074537037037037</v>
      </c>
      <c r="I140" s="7">
        <f>VLOOKUP(E140,DISTANCE!$1:$1048576,5,0)</f>
        <v>31.73</v>
      </c>
      <c r="J140" s="7">
        <f>VLOOKUP(E140,DISTANCE!$1:$1048576,6,0)</f>
        <v>6.37</v>
      </c>
      <c r="K140" s="6" t="str">
        <f t="shared" si="35"/>
        <v/>
      </c>
    </row>
    <row r="141" spans="1:11" x14ac:dyDescent="0.25">
      <c r="A141" s="10" t="s">
        <v>676</v>
      </c>
      <c r="C141" s="6">
        <v>45</v>
      </c>
      <c r="D141" s="6" t="s">
        <v>332</v>
      </c>
      <c r="E141" s="6" t="str">
        <f>VLOOKUP(A141,COV!$1:$1048576,2,0)</f>
        <v>RJ14GK0980SW</v>
      </c>
      <c r="F141" s="17">
        <f>VLOOKUP(E141,DISTANCE!$1:$1048576,2,0)</f>
        <v>0.26250000000000001</v>
      </c>
      <c r="G141" s="17">
        <f>VLOOKUP(E141,DISTANCE!$1:$1048576,3,0)</f>
        <v>0.50902777777777775</v>
      </c>
      <c r="H141" s="18">
        <f>VLOOKUP(E141,DISTANCE!$1:$1048576,4,0)</f>
        <v>0.24601851851851853</v>
      </c>
      <c r="I141" s="7">
        <f>VLOOKUP(E141,DISTANCE!$1:$1048576,5,0)</f>
        <v>23.97</v>
      </c>
      <c r="J141" s="7">
        <f>VLOOKUP(E141,DISTANCE!$1:$1048576,6,0)</f>
        <v>4.0599999999999996</v>
      </c>
      <c r="K141" s="6" t="str">
        <f t="shared" si="35"/>
        <v/>
      </c>
    </row>
    <row r="142" spans="1:11" x14ac:dyDescent="0.25">
      <c r="A142" s="10" t="s">
        <v>677</v>
      </c>
      <c r="C142" s="6">
        <v>46</v>
      </c>
      <c r="D142" s="6" t="s">
        <v>332</v>
      </c>
      <c r="E142" s="6" t="str">
        <f>VLOOKUP(A142,COV!$1:$1048576,2,0)</f>
        <v>RJ14GH5451SW</v>
      </c>
      <c r="F142" s="17">
        <f>VLOOKUP(E142,DISTANCE!$1:$1048576,2,0)</f>
        <v>0.2986111111111111</v>
      </c>
      <c r="G142" s="17">
        <f>VLOOKUP(E142,DISTANCE!$1:$1048576,3,0)</f>
        <v>0.45555555555555555</v>
      </c>
      <c r="H142" s="18">
        <f>VLOOKUP(E142,DISTANCE!$1:$1048576,4,0)</f>
        <v>0.1575</v>
      </c>
      <c r="I142" s="7">
        <f>VLOOKUP(E142,DISTANCE!$1:$1048576,5,0)</f>
        <v>18.54</v>
      </c>
      <c r="J142" s="7">
        <f>VLOOKUP(E142,DISTANCE!$1:$1048576,6,0)</f>
        <v>4.9000000000000004</v>
      </c>
      <c r="K142" s="6" t="str">
        <f t="shared" si="35"/>
        <v/>
      </c>
    </row>
    <row r="143" spans="1:11" x14ac:dyDescent="0.25">
      <c r="A143" s="10" t="s">
        <v>678</v>
      </c>
      <c r="C143" s="6">
        <v>47</v>
      </c>
      <c r="D143" s="6" t="s">
        <v>333</v>
      </c>
      <c r="E143" s="6" t="str">
        <f>VLOOKUP(A143,COV!$1:$1048576,2,0)</f>
        <v>RJ14GT8909SW</v>
      </c>
      <c r="F143" s="17">
        <f>VLOOKUP(E143,DISTANCE!$1:$1048576,2,0)</f>
        <v>0.35625000000000001</v>
      </c>
      <c r="G143" s="17">
        <f>VLOOKUP(E143,DISTANCE!$1:$1048576,3,0)</f>
        <v>0.51458333333333328</v>
      </c>
      <c r="H143" s="18">
        <f>VLOOKUP(E143,DISTANCE!$1:$1048576,4,0)</f>
        <v>0.15864583333333335</v>
      </c>
      <c r="I143" s="7">
        <f>VLOOKUP(E143,DISTANCE!$1:$1048576,5,0)</f>
        <v>12.75</v>
      </c>
      <c r="J143" s="7">
        <f>VLOOKUP(E143,DISTANCE!$1:$1048576,6,0)</f>
        <v>3.35</v>
      </c>
      <c r="K143" s="6" t="str">
        <f t="shared" si="35"/>
        <v/>
      </c>
    </row>
    <row r="144" spans="1:11" x14ac:dyDescent="0.25">
      <c r="A144" s="10" t="s">
        <v>679</v>
      </c>
      <c r="C144" s="6">
        <v>48</v>
      </c>
      <c r="D144" s="6" t="s">
        <v>333</v>
      </c>
      <c r="E144" s="6" t="str">
        <f>VLOOKUP(A144,COV!$1:$1048576,2,0)</f>
        <v>RJ14GT8241SW</v>
      </c>
      <c r="F144" s="17">
        <f>VLOOKUP(E144,DISTANCE!$1:$1048576,2,0)</f>
        <v>0.27708333333333335</v>
      </c>
      <c r="G144" s="17">
        <f>VLOOKUP(E144,DISTANCE!$1:$1048576,3,0)</f>
        <v>0.4597222222222222</v>
      </c>
      <c r="H144" s="18">
        <f>VLOOKUP(E144,DISTANCE!$1:$1048576,4,0)</f>
        <v>0.18238425925925925</v>
      </c>
      <c r="I144" s="7">
        <f>VLOOKUP(E144,DISTANCE!$1:$1048576,5,0)</f>
        <v>20.29</v>
      </c>
      <c r="J144" s="7">
        <f>VLOOKUP(E144,DISTANCE!$1:$1048576,6,0)</f>
        <v>4.6399999999999997</v>
      </c>
      <c r="K144" s="6" t="str">
        <f t="shared" si="35"/>
        <v/>
      </c>
    </row>
    <row r="145" spans="1:11" x14ac:dyDescent="0.25">
      <c r="A145" s="10" t="s">
        <v>680</v>
      </c>
      <c r="C145" s="6">
        <v>49</v>
      </c>
      <c r="D145" s="6" t="s">
        <v>334</v>
      </c>
      <c r="E145" s="6" t="str">
        <f>VLOOKUP(A145,COV!$1:$1048576,2,0)</f>
        <v>RJ14GU0641CM</v>
      </c>
      <c r="F145" s="17">
        <f>VLOOKUP(E145,DISTANCE!$1:$1048576,2,0)</f>
        <v>0.28263888888888888</v>
      </c>
      <c r="G145" s="17">
        <f>VLOOKUP(E145,DISTANCE!$1:$1048576,3,0)</f>
        <v>0.47847222222222224</v>
      </c>
      <c r="H145" s="18">
        <f>VLOOKUP(E145,DISTANCE!$1:$1048576,4,0)</f>
        <v>0.19592592592592592</v>
      </c>
      <c r="I145" s="7">
        <f>VLOOKUP(E145,DISTANCE!$1:$1048576,5,0)</f>
        <v>17.149999999999999</v>
      </c>
      <c r="J145" s="7">
        <f>VLOOKUP(E145,DISTANCE!$1:$1048576,6,0)</f>
        <v>3.65</v>
      </c>
      <c r="K145" s="6" t="str">
        <f t="shared" si="35"/>
        <v/>
      </c>
    </row>
    <row r="146" spans="1:11" x14ac:dyDescent="0.25">
      <c r="A146" s="10" t="s">
        <v>681</v>
      </c>
      <c r="C146" s="6">
        <v>50</v>
      </c>
      <c r="D146" s="6" t="s">
        <v>334</v>
      </c>
      <c r="E146" s="6" t="str">
        <f>VLOOKUP(A146,COV!$1:$1048576,2,0)</f>
        <v>RJ14GT8963SW</v>
      </c>
      <c r="F146" s="17">
        <f>VLOOKUP(E146,DISTANCE!$1:$1048576,2,0)</f>
        <v>0.3347222222222222</v>
      </c>
      <c r="G146" s="17">
        <f>VLOOKUP(E146,DISTANCE!$1:$1048576,3,0)</f>
        <v>0.61736111111111114</v>
      </c>
      <c r="H146" s="18">
        <f>VLOOKUP(E146,DISTANCE!$1:$1048576,4,0)</f>
        <v>0.28270833333333334</v>
      </c>
      <c r="I146" s="7">
        <f>VLOOKUP(E146,DISTANCE!$1:$1048576,5,0)</f>
        <v>27.34</v>
      </c>
      <c r="J146" s="7">
        <f>VLOOKUP(E146,DISTANCE!$1:$1048576,6,0)</f>
        <v>4.03</v>
      </c>
      <c r="K146" s="6" t="str">
        <f t="shared" si="35"/>
        <v/>
      </c>
    </row>
    <row r="147" spans="1:11" x14ac:dyDescent="0.25">
      <c r="A147" s="10" t="s">
        <v>682</v>
      </c>
      <c r="C147" s="6">
        <v>51</v>
      </c>
      <c r="D147" s="6" t="s">
        <v>334</v>
      </c>
      <c r="E147" s="6" t="str">
        <f>VLOOKUP(A147,COV!$1:$1048576,2,0)</f>
        <v>RJ14GU0628SW</v>
      </c>
      <c r="F147" s="17">
        <f>VLOOKUP(E147,DISTANCE!$1:$1048576,2,0)</f>
        <v>9.6527777777777782E-2</v>
      </c>
      <c r="G147" s="17">
        <f>VLOOKUP(E147,DISTANCE!$1:$1048576,3,0)</f>
        <v>0.42499999999999999</v>
      </c>
      <c r="H147" s="18">
        <f>VLOOKUP(E147,DISTANCE!$1:$1048576,4,0)</f>
        <v>0.32841435185185186</v>
      </c>
      <c r="I147" s="7">
        <f>VLOOKUP(E147,DISTANCE!$1:$1048576,5,0)</f>
        <v>19.02</v>
      </c>
      <c r="J147" s="7">
        <f>VLOOKUP(E147,DISTANCE!$1:$1048576,6,0)</f>
        <v>2.41</v>
      </c>
      <c r="K147" s="6" t="str">
        <f t="shared" si="35"/>
        <v/>
      </c>
    </row>
    <row r="148" spans="1:11" x14ac:dyDescent="0.25">
      <c r="C148" s="48" t="s">
        <v>144</v>
      </c>
      <c r="D148" s="48"/>
      <c r="E148" s="48"/>
      <c r="F148" s="48"/>
      <c r="G148" s="48"/>
      <c r="H148" s="48"/>
      <c r="I148" s="15">
        <f>AVERAGE(I97:I147)</f>
        <v>22.262127659574457</v>
      </c>
      <c r="J148" s="15">
        <f>AVERAGE(J97:J147)</f>
        <v>4.4448936170212763</v>
      </c>
      <c r="K148" s="3"/>
    </row>
    <row r="149" spans="1:11" x14ac:dyDescent="0.25">
      <c r="C149" s="58"/>
      <c r="D149" s="59"/>
      <c r="E149" s="59"/>
      <c r="F149" s="59"/>
      <c r="G149" s="59"/>
      <c r="H149" s="59"/>
      <c r="I149" s="59"/>
      <c r="J149" s="59"/>
      <c r="K149" s="60"/>
    </row>
    <row r="150" spans="1:11" x14ac:dyDescent="0.25">
      <c r="C150" s="56" t="s">
        <v>140</v>
      </c>
      <c r="D150" s="56"/>
      <c r="E150" s="56"/>
      <c r="F150" s="56"/>
      <c r="G150" s="56"/>
      <c r="H150" s="56"/>
      <c r="I150" s="56"/>
      <c r="J150" s="56"/>
      <c r="K150" s="56"/>
    </row>
    <row r="151" spans="1:11" x14ac:dyDescent="0.25">
      <c r="C151" s="56" t="s">
        <v>551</v>
      </c>
      <c r="D151" s="56"/>
      <c r="E151" s="56"/>
      <c r="F151" s="56"/>
      <c r="G151" s="56"/>
      <c r="H151" s="56"/>
      <c r="I151" s="56"/>
      <c r="J151" s="56"/>
      <c r="K151" s="56"/>
    </row>
    <row r="152" spans="1:11" x14ac:dyDescent="0.25">
      <c r="C152" s="57">
        <f ca="1">TODAY()</f>
        <v>46178</v>
      </c>
      <c r="D152" s="57"/>
      <c r="E152" s="57"/>
      <c r="F152" s="57"/>
      <c r="G152" s="57"/>
      <c r="H152" s="57"/>
      <c r="I152" s="57"/>
      <c r="J152" s="57"/>
      <c r="K152" s="57"/>
    </row>
    <row r="153" spans="1:11" x14ac:dyDescent="0.25">
      <c r="C153" s="16" t="s">
        <v>142</v>
      </c>
      <c r="D153" s="16" t="s">
        <v>0</v>
      </c>
      <c r="E153" s="16" t="s">
        <v>139</v>
      </c>
      <c r="F153" s="16" t="s">
        <v>1</v>
      </c>
      <c r="G153" s="16" t="s">
        <v>2</v>
      </c>
      <c r="H153" s="16" t="s">
        <v>3</v>
      </c>
      <c r="I153" s="16" t="s">
        <v>4</v>
      </c>
      <c r="J153" s="16" t="s">
        <v>5</v>
      </c>
      <c r="K153" s="16" t="s">
        <v>143</v>
      </c>
    </row>
    <row r="154" spans="1:11" x14ac:dyDescent="0.25">
      <c r="A154" s="10" t="s">
        <v>683</v>
      </c>
      <c r="C154" s="6">
        <v>1</v>
      </c>
      <c r="D154" s="6" t="s">
        <v>13</v>
      </c>
      <c r="E154" s="6" t="str">
        <f>VLOOKUP(A154,COV!$1:$1048576,2,0)</f>
        <v>RJ47GA7298SW</v>
      </c>
      <c r="F154" s="17">
        <f>VLOOKUP(E154,DISTANCE!$1:$1048576,2,0)</f>
        <v>0.28472222222222221</v>
      </c>
      <c r="G154" s="17">
        <f>VLOOKUP(E154,DISTANCE!$1:$1048576,3,0)</f>
        <v>0.50277777777777777</v>
      </c>
      <c r="H154" s="18">
        <f>VLOOKUP(E154,DISTANCE!$1:$1048576,4,0)</f>
        <v>0.21807870370370369</v>
      </c>
      <c r="I154" s="7">
        <f>VLOOKUP(E154,DISTANCE!$1:$1048576,5,0)</f>
        <v>64.09</v>
      </c>
      <c r="J154" s="7">
        <f>VLOOKUP(E154,DISTANCE!$1:$1048576,6,0)</f>
        <v>12.25</v>
      </c>
      <c r="K154" s="6" t="str">
        <f t="shared" ref="K154:K198" si="36">IF(I154&lt;8,"NOT WORKED","")</f>
        <v/>
      </c>
    </row>
    <row r="155" spans="1:11" x14ac:dyDescent="0.25">
      <c r="A155" s="10" t="s">
        <v>684</v>
      </c>
      <c r="C155" s="6">
        <v>2</v>
      </c>
      <c r="D155" s="6" t="s">
        <v>42</v>
      </c>
      <c r="E155" s="6" t="str">
        <f>VLOOKUP(A155,COV!$1:$1048576,2,0)</f>
        <v>RJ47GA7276SW</v>
      </c>
      <c r="F155" s="17">
        <f>VLOOKUP(E155,DISTANCE!$1:$1048576,2,0)</f>
        <v>0.27361111111111114</v>
      </c>
      <c r="G155" s="17">
        <f>VLOOKUP(E155,DISTANCE!$1:$1048576,3,0)</f>
        <v>0.41319444444444442</v>
      </c>
      <c r="H155" s="18">
        <f>VLOOKUP(E155,DISTANCE!$1:$1048576,4,0)</f>
        <v>0.14001157407407408</v>
      </c>
      <c r="I155" s="7">
        <f>VLOOKUP(E155,DISTANCE!$1:$1048576,5,0)</f>
        <v>22.19</v>
      </c>
      <c r="J155" s="7">
        <f>VLOOKUP(E155,DISTANCE!$1:$1048576,6,0)</f>
        <v>6.6</v>
      </c>
      <c r="K155" s="6" t="str">
        <f t="shared" si="36"/>
        <v/>
      </c>
    </row>
    <row r="156" spans="1:11" x14ac:dyDescent="0.25">
      <c r="A156" s="10" t="s">
        <v>685</v>
      </c>
      <c r="C156" s="6">
        <v>3</v>
      </c>
      <c r="D156" s="6" t="s">
        <v>42</v>
      </c>
      <c r="E156" s="6" t="str">
        <f>VLOOKUP(A156,COV!$1:$1048576,2,0)</f>
        <v>RJ47GA7336SW</v>
      </c>
      <c r="F156" s="17">
        <f>VLOOKUP(E156,DISTANCE!$1:$1048576,2,0)</f>
        <v>0.26944444444444443</v>
      </c>
      <c r="G156" s="17">
        <f>VLOOKUP(E156,DISTANCE!$1:$1048576,3,0)</f>
        <v>0.66319444444444442</v>
      </c>
      <c r="H156" s="18">
        <f>VLOOKUP(E156,DISTANCE!$1:$1048576,4,0)</f>
        <v>0.39381944444444444</v>
      </c>
      <c r="I156" s="7">
        <f>VLOOKUP(E156,DISTANCE!$1:$1048576,5,0)</f>
        <v>7.3</v>
      </c>
      <c r="J156" s="7">
        <f>VLOOKUP(E156,DISTANCE!$1:$1048576,6,0)</f>
        <v>0.77</v>
      </c>
      <c r="K156" s="6" t="str">
        <f t="shared" si="36"/>
        <v>NOT WORKED</v>
      </c>
    </row>
    <row r="157" spans="1:11" x14ac:dyDescent="0.25">
      <c r="A157" s="10" t="s">
        <v>686</v>
      </c>
      <c r="C157" s="6">
        <v>4</v>
      </c>
      <c r="D157" s="6" t="s">
        <v>67</v>
      </c>
      <c r="E157" s="6" t="str">
        <f>VLOOKUP(A157,COV!$1:$1048576,2,0)</f>
        <v>RJ47GA7340SW</v>
      </c>
      <c r="F157" s="17">
        <f>VLOOKUP(E157,DISTANCE!$1:$1048576,2,0)</f>
        <v>0.28958333333333336</v>
      </c>
      <c r="G157" s="17">
        <f>VLOOKUP(E157,DISTANCE!$1:$1048576,3,0)</f>
        <v>0.49652777777777779</v>
      </c>
      <c r="H157" s="18">
        <f>VLOOKUP(E157,DISTANCE!$1:$1048576,4,0)</f>
        <v>0.20717592592592593</v>
      </c>
      <c r="I157" s="7">
        <f>VLOOKUP(E157,DISTANCE!$1:$1048576,5,0)</f>
        <v>14.84</v>
      </c>
      <c r="J157" s="7">
        <f>VLOOKUP(E157,DISTANCE!$1:$1048576,6,0)</f>
        <v>2.98</v>
      </c>
      <c r="K157" s="6" t="str">
        <f t="shared" si="36"/>
        <v/>
      </c>
    </row>
    <row r="158" spans="1:11" x14ac:dyDescent="0.25">
      <c r="A158" s="10" t="s">
        <v>687</v>
      </c>
      <c r="C158" s="6">
        <v>5</v>
      </c>
      <c r="D158" s="6" t="s">
        <v>71</v>
      </c>
      <c r="E158" s="6" t="str">
        <f>VLOOKUP(A158,COV!$1:$1048576,2,0)</f>
        <v>RJ14GL3937SW</v>
      </c>
      <c r="F158" s="17">
        <f>VLOOKUP(E158,DISTANCE!$1:$1048576,2,0)</f>
        <v>0.32569444444444445</v>
      </c>
      <c r="G158" s="17">
        <f>VLOOKUP(E158,DISTANCE!$1:$1048576,3,0)</f>
        <v>0.65833333333333333</v>
      </c>
      <c r="H158" s="18">
        <f>VLOOKUP(E158,DISTANCE!$1:$1048576,4,0)</f>
        <v>0.33269675925925923</v>
      </c>
      <c r="I158" s="7">
        <f>VLOOKUP(E158,DISTANCE!$1:$1048576,5,0)</f>
        <v>21.95</v>
      </c>
      <c r="J158" s="7">
        <f>VLOOKUP(E158,DISTANCE!$1:$1048576,6,0)</f>
        <v>2.75</v>
      </c>
      <c r="K158" s="6" t="str">
        <f t="shared" si="36"/>
        <v/>
      </c>
    </row>
    <row r="159" spans="1:11" x14ac:dyDescent="0.25">
      <c r="A159" s="10" t="s">
        <v>688</v>
      </c>
      <c r="C159" s="6">
        <v>6</v>
      </c>
      <c r="D159" s="6" t="s">
        <v>71</v>
      </c>
      <c r="E159" s="6" t="str">
        <f>VLOOKUP(A159,COV!$1:$1048576,2,0)</f>
        <v>RJ47GA7187SW</v>
      </c>
      <c r="F159" s="17">
        <f>VLOOKUP(E159,DISTANCE!$1:$1048576,2,0)</f>
        <v>0.29583333333333334</v>
      </c>
      <c r="G159" s="17">
        <f>VLOOKUP(E159,DISTANCE!$1:$1048576,3,0)</f>
        <v>0.64513888888888893</v>
      </c>
      <c r="H159" s="18">
        <f>VLOOKUP(E159,DISTANCE!$1:$1048576,4,0)</f>
        <v>0.34909722222222223</v>
      </c>
      <c r="I159" s="7">
        <f>VLOOKUP(E159,DISTANCE!$1:$1048576,5,0)</f>
        <v>29.95</v>
      </c>
      <c r="J159" s="7">
        <f>VLOOKUP(E159,DISTANCE!$1:$1048576,6,0)</f>
        <v>3.57</v>
      </c>
      <c r="K159" s="6" t="str">
        <f t="shared" si="36"/>
        <v/>
      </c>
    </row>
    <row r="160" spans="1:11" x14ac:dyDescent="0.25">
      <c r="A160" s="10" t="s">
        <v>689</v>
      </c>
      <c r="C160" s="6">
        <v>7</v>
      </c>
      <c r="D160" s="6" t="s">
        <v>27</v>
      </c>
      <c r="E160" s="6" t="str">
        <f>VLOOKUP(A160,COV!$1:$1048576,2,0)</f>
        <v>RJ47GA7224SW</v>
      </c>
      <c r="F160" s="17">
        <f>VLOOKUP(E160,DISTANCE!$1:$1048576,2,0)</f>
        <v>0.38472222222222224</v>
      </c>
      <c r="G160" s="17">
        <f>VLOOKUP(E160,DISTANCE!$1:$1048576,3,0)</f>
        <v>0.48749999999999999</v>
      </c>
      <c r="H160" s="18">
        <f>VLOOKUP(E160,DISTANCE!$1:$1048576,4,0)</f>
        <v>0.10274305555555556</v>
      </c>
      <c r="I160" s="7">
        <f>VLOOKUP(E160,DISTANCE!$1:$1048576,5,0)</f>
        <v>38.299999999999997</v>
      </c>
      <c r="J160" s="7">
        <f>VLOOKUP(E160,DISTANCE!$1:$1048576,6,0)</f>
        <v>15.53</v>
      </c>
      <c r="K160" s="6" t="str">
        <f t="shared" si="36"/>
        <v/>
      </c>
    </row>
    <row r="161" spans="1:13" x14ac:dyDescent="0.25">
      <c r="A161" s="10" t="s">
        <v>690</v>
      </c>
      <c r="C161" s="6">
        <v>8</v>
      </c>
      <c r="D161" s="6" t="s">
        <v>27</v>
      </c>
      <c r="E161" s="6" t="str">
        <f>VLOOKUP(A161,COV!$1:$1048576,2,0)</f>
        <v>RJ47GA7225SW</v>
      </c>
      <c r="F161" s="17">
        <f>VLOOKUP(E161,DISTANCE!$1:$1048576,2,0)</f>
        <v>2.7777777777777779E-3</v>
      </c>
      <c r="G161" s="17">
        <f>VLOOKUP(E161,DISTANCE!$1:$1048576,3,0)</f>
        <v>0.65902777777777777</v>
      </c>
      <c r="H161" s="18">
        <f>VLOOKUP(E161,DISTANCE!$1:$1048576,4,0)</f>
        <v>0.65598379629629633</v>
      </c>
      <c r="I161" s="7">
        <f>VLOOKUP(E161,DISTANCE!$1:$1048576,5,0)</f>
        <v>31.78</v>
      </c>
      <c r="J161" s="7">
        <f>VLOOKUP(E161,DISTANCE!$1:$1048576,6,0)</f>
        <v>2.02</v>
      </c>
      <c r="K161" s="6" t="str">
        <f t="shared" si="36"/>
        <v/>
      </c>
    </row>
    <row r="162" spans="1:13" x14ac:dyDescent="0.25">
      <c r="A162" s="10" t="s">
        <v>691</v>
      </c>
      <c r="C162" s="6">
        <v>9</v>
      </c>
      <c r="D162" s="6" t="s">
        <v>38</v>
      </c>
      <c r="E162" s="6" t="str">
        <f>VLOOKUP(A162,COV!$1:$1048576,2,0)</f>
        <v>RJ47GA7223SW</v>
      </c>
      <c r="F162" s="17">
        <f>VLOOKUP(E162,DISTANCE!$1:$1048576,2,0)</f>
        <v>0.27013888888888887</v>
      </c>
      <c r="G162" s="17">
        <f>VLOOKUP(E162,DISTANCE!$1:$1048576,3,0)</f>
        <v>0.60138888888888886</v>
      </c>
      <c r="H162" s="18">
        <f>VLOOKUP(E162,DISTANCE!$1:$1048576,4,0)</f>
        <v>0.33120370370370372</v>
      </c>
      <c r="I162" s="7">
        <f>VLOOKUP(E162,DISTANCE!$1:$1048576,5,0)</f>
        <v>60.15</v>
      </c>
      <c r="J162" s="7">
        <f>VLOOKUP(E162,DISTANCE!$1:$1048576,6,0)</f>
        <v>7.57</v>
      </c>
      <c r="K162" s="6" t="str">
        <f t="shared" si="36"/>
        <v/>
      </c>
      <c r="M162" s="5"/>
    </row>
    <row r="163" spans="1:13" x14ac:dyDescent="0.25">
      <c r="A163" s="10" t="s">
        <v>692</v>
      </c>
      <c r="C163" s="6">
        <v>10</v>
      </c>
      <c r="D163" s="6" t="s">
        <v>38</v>
      </c>
      <c r="E163" s="6" t="str">
        <f>VLOOKUP(A163,COV!$1:$1048576,2,0)</f>
        <v>RJ47GA7245SW</v>
      </c>
      <c r="F163" s="17">
        <f>VLOOKUP(E163,DISTANCE!$1:$1048576,2,0)</f>
        <v>0.31597222222222221</v>
      </c>
      <c r="G163" s="17">
        <f>VLOOKUP(E163,DISTANCE!$1:$1048576,3,0)</f>
        <v>0.48055555555555557</v>
      </c>
      <c r="H163" s="18">
        <f>VLOOKUP(E163,DISTANCE!$1:$1048576,4,0)</f>
        <v>0.16453703703703704</v>
      </c>
      <c r="I163" s="7">
        <f>VLOOKUP(E163,DISTANCE!$1:$1048576,5,0)</f>
        <v>15.76</v>
      </c>
      <c r="J163" s="7">
        <f>VLOOKUP(E163,DISTANCE!$1:$1048576,6,0)</f>
        <v>3.99</v>
      </c>
      <c r="K163" s="6" t="str">
        <f t="shared" si="36"/>
        <v/>
      </c>
    </row>
    <row r="164" spans="1:13" x14ac:dyDescent="0.25">
      <c r="A164" s="10" t="s">
        <v>693</v>
      </c>
      <c r="C164" s="6">
        <v>11</v>
      </c>
      <c r="D164" s="6" t="s">
        <v>46</v>
      </c>
      <c r="E164" s="6" t="str">
        <f>VLOOKUP(A164,COV!$1:$1048576,2,0)</f>
        <v>RJ47GA7296SW</v>
      </c>
      <c r="F164" s="17">
        <f>VLOOKUP(E164,DISTANCE!$1:$1048576,2,0)</f>
        <v>0.26874999999999999</v>
      </c>
      <c r="G164" s="17">
        <f>VLOOKUP(E164,DISTANCE!$1:$1048576,3,0)</f>
        <v>0.65694444444444444</v>
      </c>
      <c r="H164" s="18">
        <f>VLOOKUP(E164,DISTANCE!$1:$1048576,4,0)</f>
        <v>0.38872685185185185</v>
      </c>
      <c r="I164" s="7">
        <f>VLOOKUP(E164,DISTANCE!$1:$1048576,5,0)</f>
        <v>49</v>
      </c>
      <c r="J164" s="7">
        <f>VLOOKUP(E164,DISTANCE!$1:$1048576,6,0)</f>
        <v>5.25</v>
      </c>
      <c r="K164" s="6" t="str">
        <f t="shared" si="36"/>
        <v/>
      </c>
    </row>
    <row r="165" spans="1:13" x14ac:dyDescent="0.25">
      <c r="A165" s="10" t="s">
        <v>694</v>
      </c>
      <c r="C165" s="6">
        <v>12</v>
      </c>
      <c r="D165" s="6" t="s">
        <v>46</v>
      </c>
      <c r="E165" s="6" t="str">
        <f>VLOOKUP(A165,COV!$1:$1048576,2,0)</f>
        <v>RJ47GA7332SW</v>
      </c>
      <c r="F165" s="17">
        <f>VLOOKUP(E165,DISTANCE!$1:$1048576,2,0)</f>
        <v>0.32777777777777778</v>
      </c>
      <c r="G165" s="17">
        <f>VLOOKUP(E165,DISTANCE!$1:$1048576,3,0)</f>
        <v>0.65416666666666667</v>
      </c>
      <c r="H165" s="18">
        <f>VLOOKUP(E165,DISTANCE!$1:$1048576,4,0)</f>
        <v>0.32679398148148148</v>
      </c>
      <c r="I165" s="7">
        <f>VLOOKUP(E165,DISTANCE!$1:$1048576,5,0)</f>
        <v>17.47</v>
      </c>
      <c r="J165" s="7">
        <f>VLOOKUP(E165,DISTANCE!$1:$1048576,6,0)</f>
        <v>2.23</v>
      </c>
      <c r="K165" s="6" t="str">
        <f t="shared" si="36"/>
        <v/>
      </c>
    </row>
    <row r="166" spans="1:13" x14ac:dyDescent="0.25">
      <c r="A166" s="10" t="s">
        <v>695</v>
      </c>
      <c r="C166" s="6">
        <v>13</v>
      </c>
      <c r="D166" s="6" t="s">
        <v>82</v>
      </c>
      <c r="E166" s="6" t="str">
        <f>VLOOKUP(A166,COV!$1:$1048576,2,0)</f>
        <v>RJ47GA7273SW</v>
      </c>
      <c r="F166" s="17">
        <f>VLOOKUP(E166,DISTANCE!$1:$1048576,2,0)</f>
        <v>0.22500000000000001</v>
      </c>
      <c r="G166" s="17">
        <f>VLOOKUP(E166,DISTANCE!$1:$1048576,3,0)</f>
        <v>0.59583333333333333</v>
      </c>
      <c r="H166" s="18">
        <f>VLOOKUP(E166,DISTANCE!$1:$1048576,4,0)</f>
        <v>0.3707523148148148</v>
      </c>
      <c r="I166" s="7">
        <f>VLOOKUP(E166,DISTANCE!$1:$1048576,5,0)</f>
        <v>12.32</v>
      </c>
      <c r="J166" s="7">
        <f>VLOOKUP(E166,DISTANCE!$1:$1048576,6,0)</f>
        <v>1.38</v>
      </c>
      <c r="K166" s="6" t="str">
        <f t="shared" ref="K166:K168" si="37">IF(I166&lt;8,"NOT WORKED","")</f>
        <v/>
      </c>
    </row>
    <row r="167" spans="1:13" x14ac:dyDescent="0.25">
      <c r="A167" s="10" t="s">
        <v>696</v>
      </c>
      <c r="C167" s="6">
        <v>14</v>
      </c>
      <c r="D167" s="6" t="s">
        <v>41</v>
      </c>
      <c r="E167" s="6" t="str">
        <f>VLOOKUP(A167,COV!$1:$1048576,2,0)</f>
        <v>RJ47GA7172SW</v>
      </c>
      <c r="F167" s="17">
        <f>VLOOKUP(E167,DISTANCE!$1:$1048576,2,0)</f>
        <v>5.5555555555555558E-3</v>
      </c>
      <c r="G167" s="17">
        <f>VLOOKUP(E167,DISTANCE!$1:$1048576,3,0)</f>
        <v>0.49722222222222223</v>
      </c>
      <c r="H167" s="18">
        <f>VLOOKUP(E167,DISTANCE!$1:$1048576,4,0)</f>
        <v>0.49156250000000001</v>
      </c>
      <c r="I167" s="7">
        <f>VLOOKUP(E167,DISTANCE!$1:$1048576,5,0)</f>
        <v>17.510000000000002</v>
      </c>
      <c r="J167" s="7">
        <f>VLOOKUP(E167,DISTANCE!$1:$1048576,6,0)</f>
        <v>1.48</v>
      </c>
      <c r="K167" s="6" t="str">
        <f t="shared" si="37"/>
        <v/>
      </c>
    </row>
    <row r="168" spans="1:13" x14ac:dyDescent="0.25">
      <c r="A168" s="10" t="s">
        <v>697</v>
      </c>
      <c r="C168" s="6">
        <v>15</v>
      </c>
      <c r="D168" s="6" t="s">
        <v>41</v>
      </c>
      <c r="E168" s="6" t="str">
        <f>VLOOKUP(A168,COV!$1:$1048576,2,0)</f>
        <v>RJ47GA7220SW</v>
      </c>
      <c r="F168" s="17">
        <f>VLOOKUP(E168,DISTANCE!$1:$1048576,2,0)</f>
        <v>0.29652777777777778</v>
      </c>
      <c r="G168" s="17">
        <f>VLOOKUP(E168,DISTANCE!$1:$1048576,3,0)</f>
        <v>0.45416666666666666</v>
      </c>
      <c r="H168" s="18">
        <f>VLOOKUP(E168,DISTANCE!$1:$1048576,4,0)</f>
        <v>0.15782407407407406</v>
      </c>
      <c r="I168" s="7">
        <f>VLOOKUP(E168,DISTANCE!$1:$1048576,5,0)</f>
        <v>14.03</v>
      </c>
      <c r="J168" s="7">
        <f>VLOOKUP(E168,DISTANCE!$1:$1048576,6,0)</f>
        <v>3.7</v>
      </c>
      <c r="K168" s="6" t="str">
        <f t="shared" si="37"/>
        <v/>
      </c>
    </row>
    <row r="169" spans="1:13" x14ac:dyDescent="0.25">
      <c r="A169" s="10" t="s">
        <v>698</v>
      </c>
      <c r="C169" s="6">
        <v>16</v>
      </c>
      <c r="D169" s="6" t="s">
        <v>41</v>
      </c>
      <c r="E169" s="6" t="str">
        <f>VLOOKUP(A169,COV!$1:$1048576,2,0)</f>
        <v>RJ14GL3953SW</v>
      </c>
      <c r="F169" s="17">
        <f>VLOOKUP(E169,DISTANCE!$1:$1048576,2,0)</f>
        <v>0.31111111111111112</v>
      </c>
      <c r="G169" s="17">
        <f>VLOOKUP(E169,DISTANCE!$1:$1048576,3,0)</f>
        <v>0.47847222222222224</v>
      </c>
      <c r="H169" s="18">
        <f>VLOOKUP(E169,DISTANCE!$1:$1048576,4,0)</f>
        <v>0.16724537037037038</v>
      </c>
      <c r="I169" s="7">
        <f>VLOOKUP(E169,DISTANCE!$1:$1048576,5,0)</f>
        <v>15.31</v>
      </c>
      <c r="J169" s="7">
        <f>VLOOKUP(E169,DISTANCE!$1:$1048576,6,0)</f>
        <v>3.82</v>
      </c>
      <c r="K169" s="6" t="str">
        <f t="shared" si="36"/>
        <v/>
      </c>
    </row>
    <row r="170" spans="1:13" x14ac:dyDescent="0.25">
      <c r="A170" s="10" t="s">
        <v>699</v>
      </c>
      <c r="C170" s="6">
        <v>17</v>
      </c>
      <c r="D170" s="6" t="s">
        <v>10</v>
      </c>
      <c r="E170" s="6" t="str">
        <f>VLOOKUP(A170,COV!$1:$1048576,2,0)</f>
        <v>RJ47GA7221SW</v>
      </c>
      <c r="F170" s="17">
        <f>VLOOKUP(E170,DISTANCE!$1:$1048576,2,0)</f>
        <v>0.32500000000000001</v>
      </c>
      <c r="G170" s="17">
        <f>VLOOKUP(E170,DISTANCE!$1:$1048576,3,0)</f>
        <v>0.66111111111111109</v>
      </c>
      <c r="H170" s="18">
        <f>VLOOKUP(E170,DISTANCE!$1:$1048576,4,0)</f>
        <v>0.33620370370370373</v>
      </c>
      <c r="I170" s="7">
        <f>VLOOKUP(E170,DISTANCE!$1:$1048576,5,0)</f>
        <v>56.83</v>
      </c>
      <c r="J170" s="7">
        <f>VLOOKUP(E170,DISTANCE!$1:$1048576,6,0)</f>
        <v>7.04</v>
      </c>
      <c r="K170" s="6" t="str">
        <f t="shared" si="36"/>
        <v/>
      </c>
    </row>
    <row r="171" spans="1:13" x14ac:dyDescent="0.25">
      <c r="A171" s="10" t="s">
        <v>700</v>
      </c>
      <c r="C171" s="6">
        <v>18</v>
      </c>
      <c r="D171" s="6" t="s">
        <v>10</v>
      </c>
      <c r="E171" s="6" t="str">
        <f>VLOOKUP(A171,COV!$1:$1048576,2,0)</f>
        <v>RJ47GA7247SW</v>
      </c>
      <c r="F171" s="17">
        <f>VLOOKUP(E171,DISTANCE!$1:$1048576,2,0)</f>
        <v>4.6527777777777779E-2</v>
      </c>
      <c r="G171" s="17">
        <f>VLOOKUP(E171,DISTANCE!$1:$1048576,3,0)</f>
        <v>0.54722222222222228</v>
      </c>
      <c r="H171" s="18">
        <f>VLOOKUP(E171,DISTANCE!$1:$1048576,4,0)</f>
        <v>0.50100694444444449</v>
      </c>
      <c r="I171" s="7">
        <f>VLOOKUP(E171,DISTANCE!$1:$1048576,5,0)</f>
        <v>70.040000000000006</v>
      </c>
      <c r="J171" s="7">
        <f>VLOOKUP(E171,DISTANCE!$1:$1048576,6,0)</f>
        <v>5.83</v>
      </c>
      <c r="K171" s="6" t="str">
        <f t="shared" si="36"/>
        <v/>
      </c>
    </row>
    <row r="172" spans="1:13" x14ac:dyDescent="0.25">
      <c r="A172" s="10" t="s">
        <v>701</v>
      </c>
      <c r="C172" s="6">
        <v>19</v>
      </c>
      <c r="D172" s="6" t="s">
        <v>12</v>
      </c>
      <c r="E172" s="6" t="str">
        <f>VLOOKUP(A172,COV!$1:$1048576,2,0)</f>
        <v>RJ47GA7277SW</v>
      </c>
      <c r="F172" s="17">
        <f>VLOOKUP(E172,DISTANCE!$1:$1048576,2,0)</f>
        <v>0.30138888888888887</v>
      </c>
      <c r="G172" s="17">
        <f>VLOOKUP(E172,DISTANCE!$1:$1048576,3,0)</f>
        <v>0.4861111111111111</v>
      </c>
      <c r="H172" s="18">
        <f>VLOOKUP(E172,DISTANCE!$1:$1048576,4,0)</f>
        <v>0.18487268518518518</v>
      </c>
      <c r="I172" s="7">
        <f>VLOOKUP(E172,DISTANCE!$1:$1048576,5,0)</f>
        <v>17.7</v>
      </c>
      <c r="J172" s="7">
        <f>VLOOKUP(E172,DISTANCE!$1:$1048576,6,0)</f>
        <v>3.99</v>
      </c>
      <c r="K172" s="6" t="str">
        <f t="shared" si="36"/>
        <v/>
      </c>
    </row>
    <row r="173" spans="1:13" x14ac:dyDescent="0.25">
      <c r="A173" s="10" t="s">
        <v>702</v>
      </c>
      <c r="C173" s="6">
        <v>20</v>
      </c>
      <c r="D173" s="6" t="s">
        <v>31</v>
      </c>
      <c r="E173" s="6" t="str">
        <f>VLOOKUP(A173,COV!$1:$1048576,2,0)</f>
        <v>RJ47GA7239SW</v>
      </c>
      <c r="F173" s="17">
        <f>VLOOKUP(E173,DISTANCE!$1:$1048576,2,0)</f>
        <v>0.15833333333333333</v>
      </c>
      <c r="G173" s="17">
        <f>VLOOKUP(E173,DISTANCE!$1:$1048576,3,0)</f>
        <v>0.62013888888888891</v>
      </c>
      <c r="H173" s="18">
        <f>VLOOKUP(E173,DISTANCE!$1:$1048576,4,0)</f>
        <v>0.46172453703703703</v>
      </c>
      <c r="I173" s="7">
        <f>VLOOKUP(E173,DISTANCE!$1:$1048576,5,0)</f>
        <v>71.510000000000005</v>
      </c>
      <c r="J173" s="7">
        <f>VLOOKUP(E173,DISTANCE!$1:$1048576,6,0)</f>
        <v>6.45</v>
      </c>
      <c r="K173" s="6" t="str">
        <f t="shared" si="36"/>
        <v/>
      </c>
    </row>
    <row r="174" spans="1:13" x14ac:dyDescent="0.25">
      <c r="A174" s="10" t="s">
        <v>703</v>
      </c>
      <c r="C174" s="6">
        <v>21</v>
      </c>
      <c r="D174" s="6" t="s">
        <v>31</v>
      </c>
      <c r="E174" s="6" t="str">
        <f>VLOOKUP(A174,COV!$1:$1048576,2,0)</f>
        <v>RJ47GA7233SW</v>
      </c>
      <c r="F174" s="17">
        <f>VLOOKUP(E174,DISTANCE!$1:$1048576,2,0)</f>
        <v>0.23125000000000001</v>
      </c>
      <c r="G174" s="17">
        <f>VLOOKUP(E174,DISTANCE!$1:$1048576,3,0)</f>
        <v>0.49583333333333335</v>
      </c>
      <c r="H174" s="18">
        <f>VLOOKUP(E174,DISTANCE!$1:$1048576,4,0)</f>
        <v>0.26474537037037038</v>
      </c>
      <c r="I174" s="7">
        <f>VLOOKUP(E174,DISTANCE!$1:$1048576,5,0)</f>
        <v>26.78</v>
      </c>
      <c r="J174" s="7">
        <f>VLOOKUP(E174,DISTANCE!$1:$1048576,6,0)</f>
        <v>4.21</v>
      </c>
      <c r="K174" s="6" t="str">
        <f t="shared" si="36"/>
        <v/>
      </c>
    </row>
    <row r="175" spans="1:13" x14ac:dyDescent="0.25">
      <c r="A175" s="10" t="s">
        <v>704</v>
      </c>
      <c r="C175" s="6">
        <v>22</v>
      </c>
      <c r="D175" s="6" t="s">
        <v>66</v>
      </c>
      <c r="E175" s="6" t="str">
        <f>VLOOKUP(A175,COV!$1:$1048576,2,0)</f>
        <v>RJ47GA7222SW</v>
      </c>
      <c r="F175" s="17">
        <f>VLOOKUP(E175,DISTANCE!$1:$1048576,2,0)</f>
        <v>0.31458333333333333</v>
      </c>
      <c r="G175" s="17">
        <f>VLOOKUP(E175,DISTANCE!$1:$1048576,3,0)</f>
        <v>0.66041666666666665</v>
      </c>
      <c r="H175" s="18">
        <f>VLOOKUP(E175,DISTANCE!$1:$1048576,4,0)</f>
        <v>0.3454861111111111</v>
      </c>
      <c r="I175" s="7">
        <f>VLOOKUP(E175,DISTANCE!$1:$1048576,5,0)</f>
        <v>14.52</v>
      </c>
      <c r="J175" s="7">
        <f>VLOOKUP(E175,DISTANCE!$1:$1048576,6,0)</f>
        <v>1.75</v>
      </c>
      <c r="K175" s="6" t="str">
        <f t="shared" si="36"/>
        <v/>
      </c>
    </row>
    <row r="176" spans="1:13" x14ac:dyDescent="0.25">
      <c r="A176" s="10" t="s">
        <v>705</v>
      </c>
      <c r="C176" s="6">
        <v>23</v>
      </c>
      <c r="D176" s="6" t="s">
        <v>66</v>
      </c>
      <c r="E176" s="6" t="str">
        <f>VLOOKUP(A176,COV!$1:$1048576,2,0)</f>
        <v>RJ47GA7286SW</v>
      </c>
      <c r="F176" s="17">
        <f>VLOOKUP(E176,DISTANCE!$1:$1048576,2,0)</f>
        <v>0.29236111111111113</v>
      </c>
      <c r="G176" s="17">
        <f>VLOOKUP(E176,DISTANCE!$1:$1048576,3,0)</f>
        <v>0.4548611111111111</v>
      </c>
      <c r="H176" s="18">
        <f>VLOOKUP(E176,DISTANCE!$1:$1048576,4,0)</f>
        <v>0.16278935185185187</v>
      </c>
      <c r="I176" s="7">
        <f>VLOOKUP(E176,DISTANCE!$1:$1048576,5,0)</f>
        <v>18.82</v>
      </c>
      <c r="J176" s="7">
        <f>VLOOKUP(E176,DISTANCE!$1:$1048576,6,0)</f>
        <v>4.82</v>
      </c>
      <c r="K176" s="6" t="str">
        <f t="shared" si="36"/>
        <v/>
      </c>
    </row>
    <row r="177" spans="1:11" x14ac:dyDescent="0.25">
      <c r="A177" s="10" t="s">
        <v>706</v>
      </c>
      <c r="C177" s="6">
        <v>24</v>
      </c>
      <c r="D177" s="6" t="s">
        <v>73</v>
      </c>
      <c r="E177" s="6" t="str">
        <f>VLOOKUP(A177,COV!$1:$1048576,2,0)</f>
        <v>RJ47GA7194SW</v>
      </c>
      <c r="F177" s="17">
        <f>VLOOKUP(E177,DISTANCE!$1:$1048576,2,0)</f>
        <v>0.30277777777777776</v>
      </c>
      <c r="G177" s="17">
        <f>VLOOKUP(E177,DISTANCE!$1:$1048576,3,0)</f>
        <v>0.5444444444444444</v>
      </c>
      <c r="H177" s="18">
        <f>VLOOKUP(E177,DISTANCE!$1:$1048576,4,0)</f>
        <v>0.24209490740740741</v>
      </c>
      <c r="I177" s="7">
        <f>VLOOKUP(E177,DISTANCE!$1:$1048576,5,0)</f>
        <v>16.72</v>
      </c>
      <c r="J177" s="7">
        <f>VLOOKUP(E177,DISTANCE!$1:$1048576,6,0)</f>
        <v>2.88</v>
      </c>
      <c r="K177" s="6" t="str">
        <f t="shared" ref="K177:K179" si="38">IF(I177&lt;8,"NOT WORKED","")</f>
        <v/>
      </c>
    </row>
    <row r="178" spans="1:11" x14ac:dyDescent="0.25">
      <c r="A178" s="10" t="s">
        <v>707</v>
      </c>
      <c r="C178" s="6">
        <v>25</v>
      </c>
      <c r="D178" s="6" t="s">
        <v>73</v>
      </c>
      <c r="E178" s="6" t="str">
        <f>VLOOKUP(A178,COV!$1:$1048576,2,0)</f>
        <v>RJ47GA7300SW</v>
      </c>
      <c r="F178" s="61" t="s">
        <v>758</v>
      </c>
      <c r="G178" s="62"/>
      <c r="H178" s="62"/>
      <c r="I178" s="62"/>
      <c r="J178" s="62"/>
      <c r="K178" s="63"/>
    </row>
    <row r="179" spans="1:11" x14ac:dyDescent="0.25">
      <c r="A179" s="10" t="s">
        <v>708</v>
      </c>
      <c r="C179" s="6">
        <v>26</v>
      </c>
      <c r="D179" s="6" t="s">
        <v>29</v>
      </c>
      <c r="E179" s="6" t="str">
        <f>VLOOKUP(A179,COV!$1:$1048576,2,0)</f>
        <v>RJ47GA7171SW</v>
      </c>
      <c r="F179" s="17">
        <f>VLOOKUP(E179,DISTANCE!$1:$1048576,2,0)</f>
        <v>0.30625000000000002</v>
      </c>
      <c r="G179" s="17">
        <f>VLOOKUP(E179,DISTANCE!$1:$1048576,3,0)</f>
        <v>0.53263888888888888</v>
      </c>
      <c r="H179" s="18">
        <f>VLOOKUP(E179,DISTANCE!$1:$1048576,4,0)</f>
        <v>0.22642361111111112</v>
      </c>
      <c r="I179" s="7">
        <f>VLOOKUP(E179,DISTANCE!$1:$1048576,5,0)</f>
        <v>15.57</v>
      </c>
      <c r="J179" s="7">
        <f>VLOOKUP(E179,DISTANCE!$1:$1048576,6,0)</f>
        <v>2.87</v>
      </c>
      <c r="K179" s="6" t="str">
        <f t="shared" si="38"/>
        <v/>
      </c>
    </row>
    <row r="180" spans="1:11" x14ac:dyDescent="0.25">
      <c r="A180" s="10" t="s">
        <v>709</v>
      </c>
      <c r="C180" s="6">
        <v>27</v>
      </c>
      <c r="D180" s="6" t="s">
        <v>29</v>
      </c>
      <c r="E180" s="6" t="str">
        <f>VLOOKUP(A180,COV!$1:$1048576,2,0)</f>
        <v>RJ47GA7230SW</v>
      </c>
      <c r="F180" s="17">
        <f>VLOOKUP(E180,DISTANCE!$1:$1048576,2,0)</f>
        <v>0.32083333333333336</v>
      </c>
      <c r="G180" s="17">
        <f>VLOOKUP(E180,DISTANCE!$1:$1048576,3,0)</f>
        <v>0.49444444444444446</v>
      </c>
      <c r="H180" s="18">
        <f>VLOOKUP(E180,DISTANCE!$1:$1048576,4,0)</f>
        <v>0.17371527777777779</v>
      </c>
      <c r="I180" s="7">
        <f>VLOOKUP(E180,DISTANCE!$1:$1048576,5,0)</f>
        <v>14.09</v>
      </c>
      <c r="J180" s="7">
        <f>VLOOKUP(E180,DISTANCE!$1:$1048576,6,0)</f>
        <v>3.38</v>
      </c>
      <c r="K180" s="6" t="str">
        <f t="shared" si="36"/>
        <v/>
      </c>
    </row>
    <row r="181" spans="1:11" x14ac:dyDescent="0.25">
      <c r="A181" s="10" t="s">
        <v>710</v>
      </c>
      <c r="C181" s="6">
        <v>28</v>
      </c>
      <c r="D181" s="6" t="s">
        <v>74</v>
      </c>
      <c r="E181" s="6" t="str">
        <f>VLOOKUP(A181,COV!$1:$1048576,2,0)</f>
        <v>RJ14GQ8652HM</v>
      </c>
      <c r="F181" s="17">
        <f>VLOOKUP(E181,DISTANCE!$1:$1048576,2,0)</f>
        <v>0.30902777777777779</v>
      </c>
      <c r="G181" s="17">
        <f>VLOOKUP(E181,DISTANCE!$1:$1048576,3,0)</f>
        <v>0.5444444444444444</v>
      </c>
      <c r="H181" s="18">
        <f>VLOOKUP(E181,DISTANCE!$1:$1048576,4,0)</f>
        <v>0.23541666666666666</v>
      </c>
      <c r="I181" s="7">
        <f>VLOOKUP(E181,DISTANCE!$1:$1048576,5,0)</f>
        <v>34.14</v>
      </c>
      <c r="J181" s="7">
        <f>VLOOKUP(E181,DISTANCE!$1:$1048576,6,0)</f>
        <v>6.04</v>
      </c>
      <c r="K181" s="6" t="str">
        <f t="shared" ref="K181:K186" si="39">IF(I181&lt;8,"NOT WORKED","")</f>
        <v/>
      </c>
    </row>
    <row r="182" spans="1:11" x14ac:dyDescent="0.25">
      <c r="A182" s="10" t="s">
        <v>711</v>
      </c>
      <c r="C182" s="6">
        <v>29</v>
      </c>
      <c r="D182" s="6" t="s">
        <v>23</v>
      </c>
      <c r="E182" s="6" t="str">
        <f>VLOOKUP(A182,COV!$1:$1048576,2,0)</f>
        <v>RJ47GA7196SW</v>
      </c>
      <c r="F182" s="17">
        <f>VLOOKUP(E182,DISTANCE!$1:$1048576,2,0)</f>
        <v>0.28611111111111109</v>
      </c>
      <c r="G182" s="17">
        <f>VLOOKUP(E182,DISTANCE!$1:$1048576,3,0)</f>
        <v>0.59791666666666665</v>
      </c>
      <c r="H182" s="18">
        <f>VLOOKUP(E182,DISTANCE!$1:$1048576,4,0)</f>
        <v>0.31232638888888886</v>
      </c>
      <c r="I182" s="7">
        <f>VLOOKUP(E182,DISTANCE!$1:$1048576,5,0)</f>
        <v>68.45</v>
      </c>
      <c r="J182" s="7">
        <f>VLOOKUP(E182,DISTANCE!$1:$1048576,6,0)</f>
        <v>9.1300000000000008</v>
      </c>
      <c r="K182" s="6" t="str">
        <f t="shared" si="39"/>
        <v/>
      </c>
    </row>
    <row r="183" spans="1:11" x14ac:dyDescent="0.25">
      <c r="A183" s="10" t="s">
        <v>712</v>
      </c>
      <c r="C183" s="6">
        <v>30</v>
      </c>
      <c r="D183" s="6" t="s">
        <v>23</v>
      </c>
      <c r="E183" s="6" t="str">
        <f>VLOOKUP(A183,COV!$1:$1048576,2,0)</f>
        <v>RJ14GH5081SW</v>
      </c>
      <c r="F183" s="17">
        <f>VLOOKUP(E183,DISTANCE!$1:$1048576,2,0)</f>
        <v>0.34166666666666667</v>
      </c>
      <c r="G183" s="17">
        <f>VLOOKUP(E183,DISTANCE!$1:$1048576,3,0)</f>
        <v>0.4597222222222222</v>
      </c>
      <c r="H183" s="18">
        <f>VLOOKUP(E183,DISTANCE!$1:$1048576,4,0)</f>
        <v>0.11778935185185185</v>
      </c>
      <c r="I183" s="7">
        <f>VLOOKUP(E183,DISTANCE!$1:$1048576,5,0)</f>
        <v>9.17</v>
      </c>
      <c r="J183" s="7">
        <f>VLOOKUP(E183,DISTANCE!$1:$1048576,6,0)</f>
        <v>3.24</v>
      </c>
      <c r="K183" s="6" t="str">
        <f t="shared" si="39"/>
        <v/>
      </c>
    </row>
    <row r="184" spans="1:11" x14ac:dyDescent="0.25">
      <c r="A184" s="10" t="s">
        <v>713</v>
      </c>
      <c r="C184" s="6">
        <v>31</v>
      </c>
      <c r="D184" s="6" t="s">
        <v>552</v>
      </c>
      <c r="E184" s="6" t="str">
        <f>VLOOKUP(A184,COV!$1:$1048576,2,0)</f>
        <v>RJ47GA7195SW</v>
      </c>
      <c r="F184" s="17">
        <f>VLOOKUP(E184,DISTANCE!$1:$1048576,2,0)</f>
        <v>0.29722222222222222</v>
      </c>
      <c r="G184" s="17">
        <f>VLOOKUP(E184,DISTANCE!$1:$1048576,3,0)</f>
        <v>0.55763888888888891</v>
      </c>
      <c r="H184" s="18">
        <f>VLOOKUP(E184,DISTANCE!$1:$1048576,4,0)</f>
        <v>0.26057870370370373</v>
      </c>
      <c r="I184" s="7">
        <f>VLOOKUP(E184,DISTANCE!$1:$1048576,5,0)</f>
        <v>17.23</v>
      </c>
      <c r="J184" s="7">
        <f>VLOOKUP(E184,DISTANCE!$1:$1048576,6,0)</f>
        <v>2.76</v>
      </c>
      <c r="K184" s="6" t="str">
        <f t="shared" si="39"/>
        <v/>
      </c>
    </row>
    <row r="185" spans="1:11" x14ac:dyDescent="0.25">
      <c r="A185" s="10" t="s">
        <v>714</v>
      </c>
      <c r="C185" s="6">
        <v>32</v>
      </c>
      <c r="D185" s="6" t="s">
        <v>552</v>
      </c>
      <c r="E185" s="6" t="str">
        <f>VLOOKUP(A185,COV!$1:$1048576,2,0)</f>
        <v>RJ14GN6540SW</v>
      </c>
      <c r="F185" s="17">
        <f>VLOOKUP(E185,DISTANCE!$1:$1048576,2,0)</f>
        <v>0.36527777777777776</v>
      </c>
      <c r="G185" s="17">
        <f>VLOOKUP(E185,DISTANCE!$1:$1048576,3,0)</f>
        <v>0.58194444444444449</v>
      </c>
      <c r="H185" s="18">
        <f>VLOOKUP(E185,DISTANCE!$1:$1048576,4,0)</f>
        <v>0.21721064814814814</v>
      </c>
      <c r="I185" s="7">
        <f>VLOOKUP(E185,DISTANCE!$1:$1048576,5,0)</f>
        <v>27.01</v>
      </c>
      <c r="J185" s="7">
        <f>VLOOKUP(E185,DISTANCE!$1:$1048576,6,0)</f>
        <v>5.18</v>
      </c>
      <c r="K185" s="6" t="str">
        <f t="shared" si="39"/>
        <v/>
      </c>
    </row>
    <row r="186" spans="1:11" x14ac:dyDescent="0.25">
      <c r="A186" s="10" t="s">
        <v>715</v>
      </c>
      <c r="C186" s="6">
        <v>33</v>
      </c>
      <c r="D186" s="6" t="s">
        <v>552</v>
      </c>
      <c r="E186" s="6" t="str">
        <f>VLOOKUP(A186,COV!$1:$1048576,2,0)</f>
        <v>RJ14GN3513SW</v>
      </c>
      <c r="F186" s="17">
        <f>VLOOKUP(E186,DISTANCE!$1:$1048576,2,0)</f>
        <v>0.28958333333333336</v>
      </c>
      <c r="G186" s="17">
        <f>VLOOKUP(E186,DISTANCE!$1:$1048576,3,0)</f>
        <v>0.41388888888888886</v>
      </c>
      <c r="H186" s="18">
        <f>VLOOKUP(E186,DISTANCE!$1:$1048576,4,0)</f>
        <v>0.12479166666666666</v>
      </c>
      <c r="I186" s="7">
        <f>VLOOKUP(E186,DISTANCE!$1:$1048576,5,0)</f>
        <v>12.59</v>
      </c>
      <c r="J186" s="7">
        <f>VLOOKUP(E186,DISTANCE!$1:$1048576,6,0)</f>
        <v>4.2</v>
      </c>
      <c r="K186" s="6" t="str">
        <f t="shared" si="39"/>
        <v/>
      </c>
    </row>
    <row r="187" spans="1:11" x14ac:dyDescent="0.25">
      <c r="A187" s="10" t="s">
        <v>716</v>
      </c>
      <c r="C187" s="6">
        <v>34</v>
      </c>
      <c r="D187" s="6" t="s">
        <v>21</v>
      </c>
      <c r="E187" s="6" t="str">
        <f>VLOOKUP(A187,COV!$1:$1048576,2,0)</f>
        <v>RJ47GA7189SW</v>
      </c>
      <c r="F187" s="17">
        <f>VLOOKUP(E187,DISTANCE!$1:$1048576,2,0)</f>
        <v>0.26111111111111113</v>
      </c>
      <c r="G187" s="17">
        <f>VLOOKUP(E187,DISTANCE!$1:$1048576,3,0)</f>
        <v>0.65902777777777777</v>
      </c>
      <c r="H187" s="18">
        <f>VLOOKUP(E187,DISTANCE!$1:$1048576,4,0)</f>
        <v>0.39791666666666664</v>
      </c>
      <c r="I187" s="7">
        <f>VLOOKUP(E187,DISTANCE!$1:$1048576,5,0)</f>
        <v>82.46</v>
      </c>
      <c r="J187" s="7">
        <f>VLOOKUP(E187,DISTANCE!$1:$1048576,6,0)</f>
        <v>8.6300000000000008</v>
      </c>
      <c r="K187" s="6" t="str">
        <f t="shared" si="36"/>
        <v/>
      </c>
    </row>
    <row r="188" spans="1:11" x14ac:dyDescent="0.25">
      <c r="A188" s="10" t="s">
        <v>717</v>
      </c>
      <c r="C188" s="6">
        <v>35</v>
      </c>
      <c r="D188" s="6" t="s">
        <v>21</v>
      </c>
      <c r="E188" s="6" t="str">
        <f>VLOOKUP(A188,COV!$1:$1048576,2,0)</f>
        <v>RJ47GA7216SW</v>
      </c>
      <c r="F188" s="17">
        <f>VLOOKUP(E188,DISTANCE!$1:$1048576,2,0)</f>
        <v>0.31388888888888888</v>
      </c>
      <c r="G188" s="17">
        <f>VLOOKUP(E188,DISTANCE!$1:$1048576,3,0)</f>
        <v>0.61458333333333337</v>
      </c>
      <c r="H188" s="18">
        <f>VLOOKUP(E188,DISTANCE!$1:$1048576,4,0)</f>
        <v>0.30068287037037039</v>
      </c>
      <c r="I188" s="7">
        <f>VLOOKUP(E188,DISTANCE!$1:$1048576,5,0)</f>
        <v>43.93</v>
      </c>
      <c r="J188" s="7">
        <f>VLOOKUP(E188,DISTANCE!$1:$1048576,6,0)</f>
        <v>6.09</v>
      </c>
      <c r="K188" s="6" t="str">
        <f t="shared" si="36"/>
        <v/>
      </c>
    </row>
    <row r="189" spans="1:11" x14ac:dyDescent="0.25">
      <c r="A189" s="10" t="s">
        <v>718</v>
      </c>
      <c r="C189" s="6">
        <v>36</v>
      </c>
      <c r="D189" s="6" t="s">
        <v>55</v>
      </c>
      <c r="E189" s="6" t="str">
        <f>VLOOKUP(A189,COV!$1:$1048576,2,0)</f>
        <v>RJ47GA7229SW</v>
      </c>
      <c r="F189" s="17">
        <f>VLOOKUP(E189,DISTANCE!$1:$1048576,2,0)</f>
        <v>0.29305555555555557</v>
      </c>
      <c r="G189" s="17">
        <f>VLOOKUP(E189,DISTANCE!$1:$1048576,3,0)</f>
        <v>0.65555555555555556</v>
      </c>
      <c r="H189" s="18">
        <f>VLOOKUP(E189,DISTANCE!$1:$1048576,4,0)</f>
        <v>0.36253472222222222</v>
      </c>
      <c r="I189" s="7">
        <f>VLOOKUP(E189,DISTANCE!$1:$1048576,5,0)</f>
        <v>25.02</v>
      </c>
      <c r="J189" s="7">
        <f>VLOOKUP(E189,DISTANCE!$1:$1048576,6,0)</f>
        <v>2.88</v>
      </c>
      <c r="K189" s="6" t="str">
        <f t="shared" si="36"/>
        <v/>
      </c>
    </row>
    <row r="190" spans="1:11" x14ac:dyDescent="0.25">
      <c r="A190" s="10" t="s">
        <v>719</v>
      </c>
      <c r="C190" s="6">
        <v>37</v>
      </c>
      <c r="D190" s="6" t="s">
        <v>55</v>
      </c>
      <c r="E190" s="6" t="str">
        <f>VLOOKUP(A190,COV!$1:$1048576,2,0)</f>
        <v>RJ47GA7280SW</v>
      </c>
      <c r="F190" s="17">
        <f>VLOOKUP(E190,DISTANCE!$1:$1048576,2,0)</f>
        <v>0.28055555555555556</v>
      </c>
      <c r="G190" s="17">
        <f>VLOOKUP(E190,DISTANCE!$1:$1048576,3,0)</f>
        <v>0.47916666666666669</v>
      </c>
      <c r="H190" s="18">
        <f>VLOOKUP(E190,DISTANCE!$1:$1048576,4,0)</f>
        <v>0.19864583333333333</v>
      </c>
      <c r="I190" s="7">
        <f>VLOOKUP(E190,DISTANCE!$1:$1048576,5,0)</f>
        <v>17.04</v>
      </c>
      <c r="J190" s="7">
        <f>VLOOKUP(E190,DISTANCE!$1:$1048576,6,0)</f>
        <v>3.58</v>
      </c>
      <c r="K190" s="6" t="str">
        <f t="shared" ref="K190:K193" si="40">IF(I190&lt;8,"NOT WORKED","")</f>
        <v/>
      </c>
    </row>
    <row r="191" spans="1:11" x14ac:dyDescent="0.25">
      <c r="A191" s="10" t="s">
        <v>720</v>
      </c>
      <c r="C191" s="6">
        <v>38</v>
      </c>
      <c r="D191" s="6" t="s">
        <v>101</v>
      </c>
      <c r="E191" s="6" t="str">
        <f>VLOOKUP(A191,COV!$1:$1048576,2,0)</f>
        <v>RJ47GA6536SW</v>
      </c>
      <c r="F191" s="53" t="s">
        <v>759</v>
      </c>
      <c r="G191" s="54"/>
      <c r="H191" s="54"/>
      <c r="I191" s="54"/>
      <c r="J191" s="54"/>
      <c r="K191" s="55"/>
    </row>
    <row r="192" spans="1:11" x14ac:dyDescent="0.25">
      <c r="A192" s="10" t="s">
        <v>721</v>
      </c>
      <c r="C192" s="6">
        <v>39</v>
      </c>
      <c r="D192" s="6" t="s">
        <v>48</v>
      </c>
      <c r="E192" s="6" t="str">
        <f>VLOOKUP(A192,COV!$1:$1048576,2,0)</f>
        <v>RJ47GA7337SW</v>
      </c>
      <c r="F192" s="17">
        <f>VLOOKUP(E192,DISTANCE!$1:$1048576,2,0)</f>
        <v>0.3347222222222222</v>
      </c>
      <c r="G192" s="17">
        <f>VLOOKUP(E192,DISTANCE!$1:$1048576,3,0)</f>
        <v>0.65625</v>
      </c>
      <c r="H192" s="18">
        <f>VLOOKUP(E192,DISTANCE!$1:$1048576,4,0)</f>
        <v>0.32170138888888888</v>
      </c>
      <c r="I192" s="7">
        <f>VLOOKUP(E192,DISTANCE!$1:$1048576,5,0)</f>
        <v>17.55</v>
      </c>
      <c r="J192" s="7">
        <f>VLOOKUP(E192,DISTANCE!$1:$1048576,6,0)</f>
        <v>2.27</v>
      </c>
      <c r="K192" s="6" t="str">
        <f t="shared" si="40"/>
        <v/>
      </c>
    </row>
    <row r="193" spans="1:11" x14ac:dyDescent="0.25">
      <c r="A193" s="10" t="s">
        <v>722</v>
      </c>
      <c r="C193" s="6">
        <v>40</v>
      </c>
      <c r="D193" s="6" t="s">
        <v>6</v>
      </c>
      <c r="E193" s="6" t="str">
        <f>VLOOKUP(A193,COV!$1:$1048576,2,0)</f>
        <v>RJ47GA7291SW</v>
      </c>
      <c r="F193" s="17">
        <f>VLOOKUP(E193,DISTANCE!$1:$1048576,2,0)</f>
        <v>0.27916666666666667</v>
      </c>
      <c r="G193" s="17">
        <f>VLOOKUP(E193,DISTANCE!$1:$1048576,3,0)</f>
        <v>0.44791666666666669</v>
      </c>
      <c r="H193" s="18">
        <f>VLOOKUP(E193,DISTANCE!$1:$1048576,4,0)</f>
        <v>0.16909722222222223</v>
      </c>
      <c r="I193" s="7">
        <f>VLOOKUP(E193,DISTANCE!$1:$1048576,5,0)</f>
        <v>6.18</v>
      </c>
      <c r="J193" s="7">
        <f>VLOOKUP(E193,DISTANCE!$1:$1048576,6,0)</f>
        <v>1.52</v>
      </c>
      <c r="K193" s="6" t="str">
        <f t="shared" si="40"/>
        <v>NOT WORKED</v>
      </c>
    </row>
    <row r="194" spans="1:11" x14ac:dyDescent="0.25">
      <c r="A194" s="10" t="s">
        <v>723</v>
      </c>
      <c r="C194" s="6">
        <v>41</v>
      </c>
      <c r="D194" s="6" t="s">
        <v>6</v>
      </c>
      <c r="E194" s="6" t="str">
        <f>VLOOKUP(A194,COV!$1:$1048576,2,0)</f>
        <v>RJ47GA6539SW</v>
      </c>
      <c r="F194" s="17">
        <f>VLOOKUP(E194,DISTANCE!$1:$1048576,2,0)</f>
        <v>0.31041666666666667</v>
      </c>
      <c r="G194" s="17">
        <f>VLOOKUP(E194,DISTANCE!$1:$1048576,3,0)</f>
        <v>0.46597222222222223</v>
      </c>
      <c r="H194" s="18">
        <f>VLOOKUP(E194,DISTANCE!$1:$1048576,4,0)</f>
        <v>0.1557523148148148</v>
      </c>
      <c r="I194" s="7">
        <f>VLOOKUP(E194,DISTANCE!$1:$1048576,5,0)</f>
        <v>10.17</v>
      </c>
      <c r="J194" s="7">
        <f>VLOOKUP(E194,DISTANCE!$1:$1048576,6,0)</f>
        <v>2.72</v>
      </c>
      <c r="K194" s="6" t="str">
        <f t="shared" si="36"/>
        <v/>
      </c>
    </row>
    <row r="195" spans="1:11" x14ac:dyDescent="0.25">
      <c r="A195" s="10" t="s">
        <v>724</v>
      </c>
      <c r="C195" s="6">
        <v>42</v>
      </c>
      <c r="D195" s="6" t="s">
        <v>24</v>
      </c>
      <c r="E195" s="6" t="str">
        <f>VLOOKUP(A195,COV!$1:$1048576,2,0)</f>
        <v>RJ47GA7234SW</v>
      </c>
      <c r="F195" s="17">
        <f>VLOOKUP(E195,DISTANCE!$1:$1048576,2,0)</f>
        <v>8.4027777777777785E-2</v>
      </c>
      <c r="G195" s="17">
        <f>VLOOKUP(E195,DISTANCE!$1:$1048576,3,0)</f>
        <v>0.65625</v>
      </c>
      <c r="H195" s="18">
        <f>VLOOKUP(E195,DISTANCE!$1:$1048576,4,0)</f>
        <v>0.57218749999999996</v>
      </c>
      <c r="I195" s="7">
        <f>VLOOKUP(E195,DISTANCE!$1:$1048576,5,0)</f>
        <v>58.69</v>
      </c>
      <c r="J195" s="7">
        <f>VLOOKUP(E195,DISTANCE!$1:$1048576,6,0)</f>
        <v>4.2699999999999996</v>
      </c>
      <c r="K195" s="6" t="str">
        <f t="shared" si="36"/>
        <v/>
      </c>
    </row>
    <row r="196" spans="1:11" x14ac:dyDescent="0.25">
      <c r="A196" s="10" t="s">
        <v>725</v>
      </c>
      <c r="C196" s="6">
        <v>43</v>
      </c>
      <c r="D196" s="6" t="s">
        <v>15</v>
      </c>
      <c r="E196" s="6" t="str">
        <f>VLOOKUP(A196,COV!$1:$1048576,2,0)</f>
        <v>RJ47GA7199SW</v>
      </c>
      <c r="F196" s="17">
        <f>VLOOKUP(E196,DISTANCE!$1:$1048576,2,0)</f>
        <v>0.2986111111111111</v>
      </c>
      <c r="G196" s="17">
        <f>VLOOKUP(E196,DISTANCE!$1:$1048576,3,0)</f>
        <v>0.48680555555555555</v>
      </c>
      <c r="H196" s="18">
        <f>VLOOKUP(E196,DISTANCE!$1:$1048576,4,0)</f>
        <v>0.18758101851851852</v>
      </c>
      <c r="I196" s="7">
        <f>VLOOKUP(E196,DISTANCE!$1:$1048576,5,0)</f>
        <v>29.21</v>
      </c>
      <c r="J196" s="7">
        <f>VLOOKUP(E196,DISTANCE!$1:$1048576,6,0)</f>
        <v>6.49</v>
      </c>
      <c r="K196" s="6" t="str">
        <f t="shared" si="36"/>
        <v/>
      </c>
    </row>
    <row r="197" spans="1:11" x14ac:dyDescent="0.25">
      <c r="A197" s="10" t="s">
        <v>714</v>
      </c>
      <c r="C197" s="6">
        <v>44</v>
      </c>
      <c r="D197" s="6" t="s">
        <v>15</v>
      </c>
      <c r="E197" s="6" t="str">
        <f>VLOOKUP(A197,COV!$1:$1048576,2,0)</f>
        <v>RJ14GN6540SW</v>
      </c>
      <c r="F197" s="17">
        <f>VLOOKUP(E197,DISTANCE!$1:$1048576,2,0)</f>
        <v>0.36527777777777776</v>
      </c>
      <c r="G197" s="17">
        <f>VLOOKUP(E197,DISTANCE!$1:$1048576,3,0)</f>
        <v>0.58194444444444449</v>
      </c>
      <c r="H197" s="18">
        <f>VLOOKUP(E197,DISTANCE!$1:$1048576,4,0)</f>
        <v>0.21721064814814814</v>
      </c>
      <c r="I197" s="7">
        <f>VLOOKUP(E197,DISTANCE!$1:$1048576,5,0)</f>
        <v>27.01</v>
      </c>
      <c r="J197" s="7">
        <f>VLOOKUP(E197,DISTANCE!$1:$1048576,6,0)</f>
        <v>5.18</v>
      </c>
      <c r="K197" s="6" t="str">
        <f t="shared" si="36"/>
        <v/>
      </c>
    </row>
    <row r="198" spans="1:11" x14ac:dyDescent="0.25">
      <c r="A198" s="10" t="s">
        <v>44</v>
      </c>
      <c r="C198" s="6">
        <v>45</v>
      </c>
      <c r="D198" s="6" t="s">
        <v>9</v>
      </c>
      <c r="E198" s="6" t="str">
        <f>VLOOKUP(A198,COV!$1:$1048576,2,0)</f>
        <v>RJ47GA7173SW</v>
      </c>
      <c r="F198" s="17">
        <f>VLOOKUP(E198,DISTANCE!$1:$1048576,2,0)</f>
        <v>0.25972222222222224</v>
      </c>
      <c r="G198" s="17">
        <f>VLOOKUP(E198,DISTANCE!$1:$1048576,3,0)</f>
        <v>0.52361111111111114</v>
      </c>
      <c r="H198" s="18">
        <f>VLOOKUP(E198,DISTANCE!$1:$1048576,4,0)</f>
        <v>0.26415509259259257</v>
      </c>
      <c r="I198" s="7">
        <f>VLOOKUP(E198,DISTANCE!$1:$1048576,5,0)</f>
        <v>29.37</v>
      </c>
      <c r="J198" s="7">
        <f>VLOOKUP(E198,DISTANCE!$1:$1048576,6,0)</f>
        <v>4.63</v>
      </c>
      <c r="K198" s="6" t="str">
        <f t="shared" si="36"/>
        <v/>
      </c>
    </row>
    <row r="199" spans="1:11" s="5" customFormat="1" x14ac:dyDescent="0.25">
      <c r="C199" s="48" t="s">
        <v>144</v>
      </c>
      <c r="D199" s="48"/>
      <c r="E199" s="48"/>
      <c r="F199" s="48"/>
      <c r="G199" s="48"/>
      <c r="H199" s="48"/>
      <c r="I199" s="15">
        <f>AVERAGE(I154:I198)</f>
        <v>29.529069767441865</v>
      </c>
      <c r="J199" s="15">
        <f>AVERAGE(J154:J198)</f>
        <v>4.6027906976744193</v>
      </c>
      <c r="K199" s="3"/>
    </row>
  </sheetData>
  <mergeCells count="30">
    <mergeCell ref="F81:K81"/>
    <mergeCell ref="F48:K48"/>
    <mergeCell ref="F131:K131"/>
    <mergeCell ref="C199:H199"/>
    <mergeCell ref="C152:K152"/>
    <mergeCell ref="C151:K151"/>
    <mergeCell ref="C148:H148"/>
    <mergeCell ref="C149:K149"/>
    <mergeCell ref="C150:K150"/>
    <mergeCell ref="F191:K191"/>
    <mergeCell ref="F178:K178"/>
    <mergeCell ref="C1:K1"/>
    <mergeCell ref="C2:K2"/>
    <mergeCell ref="C3:K3"/>
    <mergeCell ref="C4:K4"/>
    <mergeCell ref="C95:K95"/>
    <mergeCell ref="C94:K94"/>
    <mergeCell ref="C91:H91"/>
    <mergeCell ref="C93:K93"/>
    <mergeCell ref="C53:K53"/>
    <mergeCell ref="C54:K54"/>
    <mergeCell ref="C92:K92"/>
    <mergeCell ref="C55:K55"/>
    <mergeCell ref="C51:H51"/>
    <mergeCell ref="C52:K52"/>
    <mergeCell ref="F64:K64"/>
    <mergeCell ref="F59:K59"/>
    <mergeCell ref="F134:K134"/>
    <mergeCell ref="F109:K109"/>
    <mergeCell ref="F130:K1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2577-97B7-4068-B5FD-F75E5CABD1E8}">
  <dimension ref="A1:I28"/>
  <sheetViews>
    <sheetView tabSelected="1" workbookViewId="0">
      <selection activeCell="P9" sqref="P9"/>
    </sheetView>
  </sheetViews>
  <sheetFormatPr defaultRowHeight="15" x14ac:dyDescent="0.25"/>
  <cols>
    <col min="1" max="1" width="4" style="21" customWidth="1"/>
    <col min="2" max="2" width="9.140625" style="21"/>
    <col min="3" max="3" width="28.7109375" style="21" customWidth="1"/>
    <col min="4" max="4" width="16.5703125" style="21" customWidth="1"/>
    <col min="5" max="5" width="17.7109375" style="21" customWidth="1"/>
    <col min="6" max="6" width="12.5703125" style="21" customWidth="1"/>
    <col min="7" max="7" width="18.5703125" style="21" bestFit="1" customWidth="1"/>
    <col min="8" max="8" width="22.85546875" style="21" customWidth="1"/>
    <col min="9" max="9" width="4.140625" style="21" customWidth="1"/>
    <col min="10" max="16384" width="9.140625" style="21"/>
  </cols>
  <sheetData>
    <row r="1" spans="1:9" x14ac:dyDescent="0.25">
      <c r="A1" s="19"/>
      <c r="B1" s="66"/>
      <c r="C1" s="66"/>
      <c r="D1" s="66"/>
      <c r="E1" s="66"/>
      <c r="F1" s="66"/>
      <c r="G1" s="66"/>
      <c r="H1" s="66"/>
      <c r="I1" s="20"/>
    </row>
    <row r="2" spans="1:9" ht="18" customHeight="1" x14ac:dyDescent="0.25">
      <c r="A2" s="22"/>
      <c r="B2" s="67" t="s">
        <v>737</v>
      </c>
      <c r="C2" s="68"/>
      <c r="D2" s="68"/>
      <c r="E2" s="68"/>
      <c r="F2" s="68"/>
      <c r="G2" s="68"/>
      <c r="H2" s="69"/>
      <c r="I2" s="23"/>
    </row>
    <row r="3" spans="1:9" ht="18" customHeight="1" x14ac:dyDescent="0.25">
      <c r="A3" s="22"/>
      <c r="B3" s="67" t="s">
        <v>738</v>
      </c>
      <c r="C3" s="68"/>
      <c r="D3" s="68"/>
      <c r="E3" s="68"/>
      <c r="F3" s="68"/>
      <c r="G3" s="68"/>
      <c r="H3" s="69"/>
      <c r="I3" s="23"/>
    </row>
    <row r="4" spans="1:9" ht="18" customHeight="1" x14ac:dyDescent="0.25">
      <c r="A4" s="22"/>
      <c r="B4" s="70">
        <f ca="1">TODAY()</f>
        <v>46178</v>
      </c>
      <c r="C4" s="71"/>
      <c r="D4" s="71"/>
      <c r="E4" s="71"/>
      <c r="F4" s="71"/>
      <c r="G4" s="71"/>
      <c r="H4" s="72"/>
      <c r="I4" s="23"/>
    </row>
    <row r="5" spans="1:9" ht="34.5" customHeight="1" x14ac:dyDescent="0.25">
      <c r="A5" s="22"/>
      <c r="B5" s="24" t="s">
        <v>142</v>
      </c>
      <c r="C5" s="24" t="s">
        <v>726</v>
      </c>
      <c r="D5" s="25" t="s">
        <v>727</v>
      </c>
      <c r="E5" s="25" t="s">
        <v>728</v>
      </c>
      <c r="F5" s="24" t="s">
        <v>138</v>
      </c>
      <c r="G5" s="24" t="s">
        <v>4</v>
      </c>
      <c r="H5" s="24" t="s">
        <v>729</v>
      </c>
      <c r="I5" s="23"/>
    </row>
    <row r="6" spans="1:9" ht="18" customHeight="1" x14ac:dyDescent="0.25">
      <c r="A6" s="22"/>
      <c r="B6" s="24">
        <v>1</v>
      </c>
      <c r="C6" s="24" t="s">
        <v>730</v>
      </c>
      <c r="D6" s="24">
        <v>81</v>
      </c>
      <c r="E6" s="24">
        <f>COUNTIF(HMZ!F5:I86,"NOT WORKED")</f>
        <v>0</v>
      </c>
      <c r="F6" s="15">
        <f>HMZ!F86</f>
        <v>90.733333333333334</v>
      </c>
      <c r="G6" s="15">
        <f>HMZ!G86</f>
        <v>36.184399999999989</v>
      </c>
      <c r="H6" s="3">
        <v>164</v>
      </c>
      <c r="I6" s="26"/>
    </row>
    <row r="7" spans="1:9" ht="18" customHeight="1" x14ac:dyDescent="0.25">
      <c r="A7" s="22"/>
      <c r="B7" s="24">
        <v>2</v>
      </c>
      <c r="C7" s="24" t="s">
        <v>335</v>
      </c>
      <c r="D7" s="24">
        <v>71</v>
      </c>
      <c r="E7" s="24">
        <f>COUNTIF(CLZ!E5:I75,"NOT WORKED")</f>
        <v>0</v>
      </c>
      <c r="F7" s="15">
        <f>CLZ!F76</f>
        <v>91.628571428571433</v>
      </c>
      <c r="G7" s="15">
        <f>CLZ!G76</f>
        <v>38.026999999999994</v>
      </c>
      <c r="H7" s="3">
        <v>203</v>
      </c>
      <c r="I7" s="23"/>
    </row>
    <row r="8" spans="1:9" ht="18" customHeight="1" x14ac:dyDescent="0.25">
      <c r="A8" s="22"/>
      <c r="B8" s="24">
        <v>3</v>
      </c>
      <c r="C8" s="24" t="s">
        <v>311</v>
      </c>
      <c r="D8" s="24">
        <v>42</v>
      </c>
      <c r="E8" s="24">
        <f>COUNTIF(KPZ!F5:I46,"NOT WORKED")</f>
        <v>0</v>
      </c>
      <c r="F8" s="15">
        <f>KPZ!F47</f>
        <v>91.219512195121951</v>
      </c>
      <c r="G8" s="15">
        <f>KPZ!G47</f>
        <v>23.302439024390239</v>
      </c>
      <c r="H8" s="24">
        <v>98</v>
      </c>
      <c r="I8" s="23"/>
    </row>
    <row r="9" spans="1:9" ht="18" customHeight="1" x14ac:dyDescent="0.25">
      <c r="A9" s="22"/>
      <c r="B9" s="24">
        <v>4</v>
      </c>
      <c r="C9" s="24" t="s">
        <v>731</v>
      </c>
      <c r="D9" s="24">
        <v>65</v>
      </c>
      <c r="E9" s="24">
        <f>COUNTIF(ANZ!F5:I69,"NOT WORKED")</f>
        <v>1</v>
      </c>
      <c r="F9" s="15">
        <f>ANZ!F70</f>
        <v>89.854838709677423</v>
      </c>
      <c r="G9" s="15">
        <f>ANZ!G70</f>
        <v>31.36322580645162</v>
      </c>
      <c r="H9" s="3">
        <v>161</v>
      </c>
      <c r="I9" s="23"/>
    </row>
    <row r="10" spans="1:9" ht="15.75" x14ac:dyDescent="0.25">
      <c r="A10" s="22"/>
      <c r="B10" s="73" t="s">
        <v>732</v>
      </c>
      <c r="C10" s="74"/>
      <c r="D10" s="27">
        <f>SUM(D6:D9)</f>
        <v>259</v>
      </c>
      <c r="E10" s="27">
        <f>SUM(E6:E9)</f>
        <v>1</v>
      </c>
      <c r="F10" s="28" t="str">
        <f>CONCATENATE(ROUND(AVERAGE(F6:F9),2),"%")</f>
        <v>90.86%</v>
      </c>
      <c r="G10" s="28" t="str">
        <f>CONCATENATE(ROUND(AVERAGE(G6:G9),2),"KM")</f>
        <v>32.22KM</v>
      </c>
      <c r="H10" s="27">
        <f>SUM(H6:H9)</f>
        <v>626</v>
      </c>
      <c r="I10" s="23"/>
    </row>
    <row r="11" spans="1:9" x14ac:dyDescent="0.25">
      <c r="A11" s="22"/>
      <c r="B11" s="75"/>
      <c r="C11" s="76"/>
      <c r="D11" s="76"/>
      <c r="E11" s="76"/>
      <c r="F11" s="76"/>
      <c r="G11" s="76"/>
      <c r="H11" s="77"/>
      <c r="I11" s="23"/>
    </row>
    <row r="12" spans="1:9" ht="20.25" customHeight="1" x14ac:dyDescent="0.25">
      <c r="A12" s="22"/>
      <c r="B12" s="56" t="s">
        <v>733</v>
      </c>
      <c r="C12" s="56"/>
      <c r="D12" s="56"/>
      <c r="E12" s="56"/>
      <c r="F12" s="56"/>
      <c r="G12" s="56"/>
      <c r="H12" s="56"/>
      <c r="I12" s="23"/>
    </row>
    <row r="13" spans="1:9" ht="42" customHeight="1" x14ac:dyDescent="0.25">
      <c r="A13" s="22"/>
      <c r="B13" s="24" t="s">
        <v>142</v>
      </c>
      <c r="C13" s="24" t="s">
        <v>726</v>
      </c>
      <c r="D13" s="25" t="s">
        <v>734</v>
      </c>
      <c r="E13" s="78" t="s">
        <v>728</v>
      </c>
      <c r="F13" s="78"/>
      <c r="G13" s="24" t="s">
        <v>4</v>
      </c>
      <c r="H13" s="24" t="s">
        <v>729</v>
      </c>
      <c r="I13" s="23"/>
    </row>
    <row r="14" spans="1:9" ht="18.75" customHeight="1" x14ac:dyDescent="0.25">
      <c r="A14" s="22"/>
      <c r="B14" s="24">
        <v>1</v>
      </c>
      <c r="C14" s="24" t="s">
        <v>730</v>
      </c>
      <c r="D14" s="24">
        <v>45</v>
      </c>
      <c r="E14" s="78">
        <f>COUNTIF(SW!F6:K50,"NOT WORKED")</f>
        <v>0</v>
      </c>
      <c r="F14" s="78"/>
      <c r="G14" s="15">
        <f>SW!I51</f>
        <v>25.817272727272723</v>
      </c>
      <c r="H14" s="3">
        <v>58</v>
      </c>
      <c r="I14" s="23"/>
    </row>
    <row r="15" spans="1:9" ht="18.75" customHeight="1" x14ac:dyDescent="0.25">
      <c r="A15" s="22"/>
      <c r="B15" s="24">
        <v>2</v>
      </c>
      <c r="C15" s="24" t="s">
        <v>335</v>
      </c>
      <c r="D15" s="24">
        <v>34</v>
      </c>
      <c r="E15" s="78">
        <f>COUNTIF(SW!F57:K90,"NOT WORKED")</f>
        <v>2</v>
      </c>
      <c r="F15" s="78"/>
      <c r="G15" s="15">
        <f>SW!I91</f>
        <v>27.992903225806447</v>
      </c>
      <c r="H15" s="3">
        <v>47</v>
      </c>
      <c r="I15" s="23"/>
    </row>
    <row r="16" spans="1:9" ht="18.75" customHeight="1" x14ac:dyDescent="0.25">
      <c r="A16" s="22"/>
      <c r="B16" s="24">
        <v>3</v>
      </c>
      <c r="C16" s="24" t="s">
        <v>311</v>
      </c>
      <c r="D16" s="24">
        <v>51</v>
      </c>
      <c r="E16" s="78">
        <f>COUNTIF(SW!F97:K147,"NOT WORKED")</f>
        <v>2</v>
      </c>
      <c r="F16" s="78"/>
      <c r="G16" s="15">
        <f>SW!I148</f>
        <v>22.262127659574457</v>
      </c>
      <c r="H16" s="3">
        <v>71</v>
      </c>
      <c r="I16" s="23"/>
    </row>
    <row r="17" spans="1:9" ht="18.75" customHeight="1" x14ac:dyDescent="0.25">
      <c r="A17" s="22"/>
      <c r="B17" s="24">
        <v>4</v>
      </c>
      <c r="C17" s="24" t="s">
        <v>731</v>
      </c>
      <c r="D17" s="24">
        <v>45</v>
      </c>
      <c r="E17" s="78">
        <f>COUNTIF(SW!F154:K198,"NOT WORKED")</f>
        <v>2</v>
      </c>
      <c r="F17" s="78"/>
      <c r="G17" s="15">
        <f>SW!I199</f>
        <v>29.529069767441865</v>
      </c>
      <c r="H17" s="3">
        <v>65</v>
      </c>
      <c r="I17" s="23"/>
    </row>
    <row r="18" spans="1:9" ht="18.75" customHeight="1" x14ac:dyDescent="0.25">
      <c r="A18" s="22"/>
      <c r="B18" s="64" t="s">
        <v>732</v>
      </c>
      <c r="C18" s="64"/>
      <c r="D18" s="27">
        <f>SUM(D14:D17)</f>
        <v>175</v>
      </c>
      <c r="E18" s="65">
        <f>SUM(E14:F17)</f>
        <v>6</v>
      </c>
      <c r="F18" s="65"/>
      <c r="G18" s="28" t="str">
        <f>CONCATENATE(ROUND(AVERAGE(G14:G17),2),"KM")</f>
        <v>26.4KM</v>
      </c>
      <c r="H18" s="27">
        <f>SUM(H14:H17)</f>
        <v>241</v>
      </c>
      <c r="I18" s="23"/>
    </row>
    <row r="19" spans="1:9" x14ac:dyDescent="0.25">
      <c r="A19" s="22"/>
      <c r="B19" s="79" t="s">
        <v>735</v>
      </c>
      <c r="C19" s="79"/>
      <c r="D19" s="79"/>
      <c r="E19" s="79"/>
      <c r="F19" s="79"/>
      <c r="G19" s="79"/>
      <c r="H19" s="79"/>
      <c r="I19" s="23"/>
    </row>
    <row r="20" spans="1:9" ht="16.5" customHeight="1" x14ac:dyDescent="0.25">
      <c r="A20" s="22"/>
      <c r="B20" s="56" t="s">
        <v>739</v>
      </c>
      <c r="C20" s="56"/>
      <c r="D20" s="56"/>
      <c r="E20" s="56"/>
      <c r="F20" s="56"/>
      <c r="G20" s="56"/>
      <c r="H20" s="56"/>
      <c r="I20" s="23"/>
    </row>
    <row r="21" spans="1:9" x14ac:dyDescent="0.25">
      <c r="A21" s="22"/>
      <c r="B21" s="80">
        <f ca="1">TODAY()-1</f>
        <v>46177</v>
      </c>
      <c r="C21" s="80"/>
      <c r="D21" s="80"/>
      <c r="E21" s="80"/>
      <c r="F21" s="80"/>
      <c r="G21" s="80"/>
      <c r="H21" s="80"/>
      <c r="I21" s="23"/>
    </row>
    <row r="22" spans="1:9" x14ac:dyDescent="0.25">
      <c r="A22" s="22"/>
      <c r="B22" s="24" t="s">
        <v>142</v>
      </c>
      <c r="C22" s="24" t="s">
        <v>726</v>
      </c>
      <c r="D22" s="25" t="s">
        <v>736</v>
      </c>
      <c r="E22" s="78" t="s">
        <v>728</v>
      </c>
      <c r="F22" s="78"/>
      <c r="G22" s="24" t="s">
        <v>4</v>
      </c>
      <c r="H22" s="24" t="s">
        <v>729</v>
      </c>
      <c r="I22" s="23"/>
    </row>
    <row r="23" spans="1:9" ht="20.25" customHeight="1" x14ac:dyDescent="0.25">
      <c r="A23" s="22"/>
      <c r="B23" s="24">
        <v>1</v>
      </c>
      <c r="C23" s="24" t="s">
        <v>730</v>
      </c>
      <c r="D23" s="24"/>
      <c r="E23" s="78"/>
      <c r="F23" s="78"/>
      <c r="G23" s="25"/>
      <c r="H23" s="25"/>
      <c r="I23" s="23"/>
    </row>
    <row r="24" spans="1:9" ht="20.25" customHeight="1" x14ac:dyDescent="0.25">
      <c r="A24" s="22"/>
      <c r="B24" s="24">
        <v>2</v>
      </c>
      <c r="C24" s="24" t="s">
        <v>335</v>
      </c>
      <c r="D24" s="24"/>
      <c r="E24" s="78"/>
      <c r="F24" s="78"/>
      <c r="G24" s="25"/>
      <c r="H24" s="25"/>
      <c r="I24" s="23"/>
    </row>
    <row r="25" spans="1:9" ht="20.25" customHeight="1" x14ac:dyDescent="0.25">
      <c r="A25" s="22"/>
      <c r="B25" s="24">
        <v>3</v>
      </c>
      <c r="C25" s="24" t="s">
        <v>311</v>
      </c>
      <c r="D25" s="24"/>
      <c r="E25" s="78"/>
      <c r="F25" s="78"/>
      <c r="G25" s="25"/>
      <c r="H25" s="25"/>
      <c r="I25" s="23"/>
    </row>
    <row r="26" spans="1:9" ht="20.25" customHeight="1" x14ac:dyDescent="0.25">
      <c r="A26" s="22"/>
      <c r="B26" s="24">
        <v>4</v>
      </c>
      <c r="C26" s="24" t="s">
        <v>731</v>
      </c>
      <c r="D26" s="24"/>
      <c r="E26" s="78"/>
      <c r="F26" s="78"/>
      <c r="G26" s="25"/>
      <c r="H26" s="3"/>
      <c r="I26" s="23"/>
    </row>
    <row r="27" spans="1:9" ht="15.75" x14ac:dyDescent="0.25">
      <c r="A27" s="22"/>
      <c r="B27" s="64" t="s">
        <v>732</v>
      </c>
      <c r="C27" s="64"/>
      <c r="D27" s="27">
        <f>SUM(D23:D26)</f>
        <v>0</v>
      </c>
      <c r="E27" s="65">
        <f>SUM(E23:F26)</f>
        <v>0</v>
      </c>
      <c r="F27" s="65"/>
      <c r="G27" s="28" t="e">
        <f>CONCATENATE(ROUND(AVERAGE(G23:G26),2),"KM")</f>
        <v>#DIV/0!</v>
      </c>
      <c r="H27" s="27">
        <v>70</v>
      </c>
      <c r="I27" s="23"/>
    </row>
    <row r="28" spans="1:9" ht="15.75" thickBot="1" x14ac:dyDescent="0.3">
      <c r="A28" s="29"/>
      <c r="B28" s="30"/>
      <c r="C28" s="30"/>
      <c r="D28" s="30"/>
      <c r="E28" s="30"/>
      <c r="F28" s="30"/>
      <c r="G28" s="30"/>
      <c r="H28" s="30"/>
      <c r="I28" s="31"/>
    </row>
  </sheetData>
  <mergeCells count="24">
    <mergeCell ref="E25:F25"/>
    <mergeCell ref="E26:F26"/>
    <mergeCell ref="B27:C27"/>
    <mergeCell ref="E27:F27"/>
    <mergeCell ref="B2:H2"/>
    <mergeCell ref="B19:H19"/>
    <mergeCell ref="B20:H20"/>
    <mergeCell ref="B21:H21"/>
    <mergeCell ref="E22:F22"/>
    <mergeCell ref="E23:F23"/>
    <mergeCell ref="E24:F24"/>
    <mergeCell ref="E13:F13"/>
    <mergeCell ref="E14:F14"/>
    <mergeCell ref="E15:F15"/>
    <mergeCell ref="E16:F16"/>
    <mergeCell ref="E17:F17"/>
    <mergeCell ref="B18:C18"/>
    <mergeCell ref="E18:F18"/>
    <mergeCell ref="B1:H1"/>
    <mergeCell ref="B3:H3"/>
    <mergeCell ref="B4:H4"/>
    <mergeCell ref="B10:C10"/>
    <mergeCell ref="B11:H11"/>
    <mergeCell ref="B12:H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B94A-406F-4774-9DC5-96358E97127E}">
  <dimension ref="A1:I259"/>
  <sheetViews>
    <sheetView topLeftCell="B1" workbookViewId="0">
      <selection activeCell="F29" sqref="A1:XFD1048576"/>
    </sheetView>
  </sheetViews>
  <sheetFormatPr defaultRowHeight="15" x14ac:dyDescent="0.25"/>
  <cols>
    <col min="1" max="1" width="22.42578125" hidden="1" customWidth="1"/>
    <col min="2" max="2" width="10.7109375" style="8" customWidth="1"/>
    <col min="3" max="3" width="34.42578125" style="8" customWidth="1"/>
    <col min="4" max="4" width="22.140625" bestFit="1" customWidth="1"/>
    <col min="5" max="5" width="15.7109375" customWidth="1"/>
    <col min="6" max="9" width="10.7109375" customWidth="1"/>
    <col min="10" max="16384" width="9.140625" style="8"/>
  </cols>
  <sheetData>
    <row r="1" spans="1:9" x14ac:dyDescent="0.25">
      <c r="A1" t="s">
        <v>203</v>
      </c>
      <c r="B1" s="8">
        <v>1</v>
      </c>
      <c r="C1" s="7" t="s">
        <v>740</v>
      </c>
      <c r="D1" s="7" t="s">
        <v>424</v>
      </c>
      <c r="E1" s="6" t="str">
        <f>VLOOKUP(A1,COV!$1:$1048576,2,0)</f>
        <v>RJ14GN5224</v>
      </c>
      <c r="F1" s="17">
        <f>VLOOKUP(E1,DISTANCE!$1:$1048576,2,0)</f>
        <v>0.65833333333333333</v>
      </c>
      <c r="G1" s="17">
        <f>VLOOKUP(E1,DISTANCE!$1:$1048576,3,0)</f>
        <v>0.65833333333333333</v>
      </c>
      <c r="H1" s="18">
        <f>VLOOKUP(E1,DISTANCE!$1:$1048576,4,0)</f>
        <v>0</v>
      </c>
      <c r="I1" s="7">
        <f>VLOOKUP(E1,DISTANCE!$1:$1048576,5,0)</f>
        <v>0</v>
      </c>
    </row>
    <row r="2" spans="1:9" x14ac:dyDescent="0.25">
      <c r="A2" t="s">
        <v>305</v>
      </c>
      <c r="B2" s="8">
        <v>2</v>
      </c>
      <c r="C2" s="7" t="s">
        <v>740</v>
      </c>
      <c r="D2" s="7" t="s">
        <v>424</v>
      </c>
      <c r="E2" s="6" t="str">
        <f>VLOOKUP(A2,COV!$1:$1048576,2,0)</f>
        <v>RJ14GN7680</v>
      </c>
      <c r="F2" s="17">
        <f>VLOOKUP(E2,DISTANCE!$1:$1048576,2,0)</f>
        <v>6.2500000000000003E-3</v>
      </c>
      <c r="G2" s="17">
        <f>VLOOKUP(E2,DISTANCE!$1:$1048576,3,0)</f>
        <v>0.66041666666666665</v>
      </c>
      <c r="H2" s="18">
        <f>VLOOKUP(E2,DISTANCE!$1:$1048576,4,0)</f>
        <v>0.65406249999999999</v>
      </c>
      <c r="I2" s="7">
        <f>VLOOKUP(E2,DISTANCE!$1:$1048576,5,0)</f>
        <v>59.13</v>
      </c>
    </row>
    <row r="3" spans="1:9" x14ac:dyDescent="0.25">
      <c r="A3" t="s">
        <v>211</v>
      </c>
      <c r="B3" s="8">
        <v>3</v>
      </c>
      <c r="C3" s="7" t="s">
        <v>740</v>
      </c>
      <c r="D3" s="7" t="s">
        <v>423</v>
      </c>
      <c r="E3" s="6" t="str">
        <f>VLOOKUP(A3,COV!$1:$1048576,2,0)</f>
        <v>RJ14GN7687</v>
      </c>
      <c r="F3" s="17">
        <f>VLOOKUP(E3,DISTANCE!$1:$1048576,2,0)</f>
        <v>0.25486111111111109</v>
      </c>
      <c r="G3" s="17">
        <f>VLOOKUP(E3,DISTANCE!$1:$1048576,3,0)</f>
        <v>0.65</v>
      </c>
      <c r="H3" s="18">
        <f>VLOOKUP(E3,DISTANCE!$1:$1048576,4,0)</f>
        <v>0.39491898148148147</v>
      </c>
      <c r="I3" s="7">
        <f>VLOOKUP(E3,DISTANCE!$1:$1048576,5,0)</f>
        <v>32.630000000000003</v>
      </c>
    </row>
    <row r="4" spans="1:9" x14ac:dyDescent="0.25">
      <c r="A4" t="s">
        <v>215</v>
      </c>
      <c r="B4" s="8">
        <v>4</v>
      </c>
      <c r="C4" s="7" t="s">
        <v>740</v>
      </c>
      <c r="D4" s="7" t="s">
        <v>423</v>
      </c>
      <c r="E4" s="6" t="str">
        <f>VLOOKUP(A4,COV!$1:$1048576,2,0)</f>
        <v>RJ14GN7807</v>
      </c>
      <c r="F4" s="17">
        <f>VLOOKUP(E4,DISTANCE!$1:$1048576,2,0)</f>
        <v>0.28402777777777777</v>
      </c>
      <c r="G4" s="17">
        <f>VLOOKUP(E4,DISTANCE!$1:$1048576,3,0)</f>
        <v>0.58611111111111114</v>
      </c>
      <c r="H4" s="18">
        <f>VLOOKUP(E4,DISTANCE!$1:$1048576,4,0)</f>
        <v>0.30174768518518519</v>
      </c>
      <c r="I4" s="7">
        <f>VLOOKUP(E4,DISTANCE!$1:$1048576,5,0)</f>
        <v>53.53</v>
      </c>
    </row>
    <row r="5" spans="1:9" x14ac:dyDescent="0.25">
      <c r="A5" t="s">
        <v>300</v>
      </c>
      <c r="B5" s="8">
        <v>5</v>
      </c>
      <c r="C5" s="7" t="s">
        <v>740</v>
      </c>
      <c r="D5" s="7" t="s">
        <v>423</v>
      </c>
      <c r="E5" s="6" t="str">
        <f>VLOOKUP(A5,COV!$1:$1048576,2,0)</f>
        <v>RJ14GQ5280</v>
      </c>
      <c r="F5" s="17">
        <f>VLOOKUP(E5,DISTANCE!$1:$1048576,2,0)</f>
        <v>0.27152777777777776</v>
      </c>
      <c r="G5" s="17">
        <f>VLOOKUP(E5,DISTANCE!$1:$1048576,3,0)</f>
        <v>0.5756944444444444</v>
      </c>
      <c r="H5" s="18">
        <f>VLOOKUP(E5,DISTANCE!$1:$1048576,4,0)</f>
        <v>0.30408564814814815</v>
      </c>
      <c r="I5" s="7">
        <f>VLOOKUP(E5,DISTANCE!$1:$1048576,5,0)</f>
        <v>82.27</v>
      </c>
    </row>
    <row r="6" spans="1:9" x14ac:dyDescent="0.25">
      <c r="A6" t="s">
        <v>212</v>
      </c>
      <c r="B6" s="8">
        <v>6</v>
      </c>
      <c r="C6" s="7" t="s">
        <v>740</v>
      </c>
      <c r="D6" s="7" t="s">
        <v>422</v>
      </c>
      <c r="E6" s="6" t="str">
        <f>VLOOKUP(A6,COV!$1:$1048576,2,0)</f>
        <v>RJ14GN4991</v>
      </c>
      <c r="F6" s="17">
        <f>VLOOKUP(E6,DISTANCE!$1:$1048576,2,0)</f>
        <v>0.27777777777777779</v>
      </c>
      <c r="G6" s="17">
        <f>VLOOKUP(E6,DISTANCE!$1:$1048576,3,0)</f>
        <v>0.44930555555555557</v>
      </c>
      <c r="H6" s="18">
        <f>VLOOKUP(E6,DISTANCE!$1:$1048576,4,0)</f>
        <v>0.17097222222222222</v>
      </c>
      <c r="I6" s="7">
        <f>VLOOKUP(E6,DISTANCE!$1:$1048576,5,0)</f>
        <v>28.32</v>
      </c>
    </row>
    <row r="7" spans="1:9" x14ac:dyDescent="0.25">
      <c r="A7" t="s">
        <v>214</v>
      </c>
      <c r="B7" s="8">
        <v>7</v>
      </c>
      <c r="C7" s="7" t="s">
        <v>740</v>
      </c>
      <c r="D7" s="7" t="s">
        <v>422</v>
      </c>
      <c r="E7" s="6" t="str">
        <f>VLOOKUP(A7,COV!$1:$1048576,2,0)</f>
        <v>RJ14GQ5291</v>
      </c>
      <c r="F7" s="17">
        <f>VLOOKUP(E7,DISTANCE!$1:$1048576,2,0)</f>
        <v>3.472222222222222E-3</v>
      </c>
      <c r="G7" s="17">
        <f>VLOOKUP(E7,DISTANCE!$1:$1048576,3,0)</f>
        <v>0.66180555555555554</v>
      </c>
      <c r="H7" s="18">
        <f>VLOOKUP(E7,DISTANCE!$1:$1048576,4,0)</f>
        <v>0.65834490740740736</v>
      </c>
      <c r="I7" s="7">
        <f>VLOOKUP(E7,DISTANCE!$1:$1048576,5,0)</f>
        <v>35.67</v>
      </c>
    </row>
    <row r="8" spans="1:9" x14ac:dyDescent="0.25">
      <c r="A8" t="s">
        <v>222</v>
      </c>
      <c r="B8" s="8">
        <v>8</v>
      </c>
      <c r="C8" s="7" t="s">
        <v>740</v>
      </c>
      <c r="D8" s="7" t="s">
        <v>422</v>
      </c>
      <c r="E8" s="6" t="str">
        <f>VLOOKUP(A8,COV!$1:$1048576,2,0)</f>
        <v>RJ14GN5034</v>
      </c>
      <c r="F8" s="17">
        <f>VLOOKUP(E8,DISTANCE!$1:$1048576,2,0)</f>
        <v>0.3034722222222222</v>
      </c>
      <c r="G8" s="17">
        <f>VLOOKUP(E8,DISTANCE!$1:$1048576,3,0)</f>
        <v>0.44374999999999998</v>
      </c>
      <c r="H8" s="18">
        <f>VLOOKUP(E8,DISTANCE!$1:$1048576,4,0)</f>
        <v>0.14047453703703705</v>
      </c>
      <c r="I8" s="7">
        <f>VLOOKUP(E8,DISTANCE!$1:$1048576,5,0)</f>
        <v>33.42</v>
      </c>
    </row>
    <row r="9" spans="1:9" x14ac:dyDescent="0.25">
      <c r="A9" t="s">
        <v>251</v>
      </c>
      <c r="B9" s="8">
        <v>9</v>
      </c>
      <c r="C9" s="7" t="s">
        <v>740</v>
      </c>
      <c r="D9" s="7" t="s">
        <v>422</v>
      </c>
      <c r="E9" s="6" t="str">
        <f>VLOOKUP(A9,COV!$1:$1048576,2,0)</f>
        <v>RJI4GN8483</v>
      </c>
      <c r="F9" s="17">
        <f>VLOOKUP(E9,DISTANCE!$1:$1048576,2,0)</f>
        <v>0.2722222222222222</v>
      </c>
      <c r="G9" s="17">
        <f>VLOOKUP(E9,DISTANCE!$1:$1048576,3,0)</f>
        <v>0.53194444444444444</v>
      </c>
      <c r="H9" s="18">
        <f>VLOOKUP(E9,DISTANCE!$1:$1048576,4,0)</f>
        <v>0.25953703703703701</v>
      </c>
      <c r="I9" s="7">
        <f>VLOOKUP(E9,DISTANCE!$1:$1048576,5,0)</f>
        <v>55.87</v>
      </c>
    </row>
    <row r="10" spans="1:9" x14ac:dyDescent="0.25">
      <c r="A10" t="s">
        <v>133</v>
      </c>
      <c r="B10" s="8">
        <v>10</v>
      </c>
      <c r="C10" s="7" t="s">
        <v>740</v>
      </c>
      <c r="D10" s="7" t="s">
        <v>421</v>
      </c>
      <c r="E10" s="6" t="str">
        <f>VLOOKUP(A10,COV!$1:$1048576,2,0)</f>
        <v>RJ14GQ5288</v>
      </c>
      <c r="F10" s="17">
        <f>VLOOKUP(E10,DISTANCE!$1:$1048576,2,0)</f>
        <v>0.26111111111111113</v>
      </c>
      <c r="G10" s="17">
        <f>VLOOKUP(E10,DISTANCE!$1:$1048576,3,0)</f>
        <v>0.60416666666666663</v>
      </c>
      <c r="H10" s="18">
        <f>VLOOKUP(E10,DISTANCE!$1:$1048576,4,0)</f>
        <v>0.34322916666666664</v>
      </c>
      <c r="I10" s="7">
        <f>VLOOKUP(E10,DISTANCE!$1:$1048576,5,0)</f>
        <v>54.67</v>
      </c>
    </row>
    <row r="11" spans="1:9" x14ac:dyDescent="0.25">
      <c r="A11" t="s">
        <v>290</v>
      </c>
      <c r="B11" s="8">
        <v>11</v>
      </c>
      <c r="C11" s="7" t="s">
        <v>740</v>
      </c>
      <c r="D11" s="7" t="s">
        <v>421</v>
      </c>
      <c r="E11" s="6" t="str">
        <f>VLOOKUP(A11,COV!$1:$1048576,2,0)</f>
        <v>RJ14GN7804</v>
      </c>
      <c r="F11" s="17" t="e">
        <f>VLOOKUP(E11,DISTANCE!$1:$1048576,2,0)</f>
        <v>#N/A</v>
      </c>
      <c r="G11" s="17" t="e">
        <f>VLOOKUP(E11,DISTANCE!$1:$1048576,3,0)</f>
        <v>#N/A</v>
      </c>
      <c r="H11" s="18" t="e">
        <f>VLOOKUP(E11,DISTANCE!$1:$1048576,4,0)</f>
        <v>#N/A</v>
      </c>
      <c r="I11" s="7" t="e">
        <f>VLOOKUP(E11,DISTANCE!$1:$1048576,5,0)</f>
        <v>#N/A</v>
      </c>
    </row>
    <row r="12" spans="1:9" x14ac:dyDescent="0.25">
      <c r="A12" t="s">
        <v>301</v>
      </c>
      <c r="B12" s="8">
        <v>12</v>
      </c>
      <c r="C12" s="7" t="s">
        <v>740</v>
      </c>
      <c r="D12" s="7" t="s">
        <v>421</v>
      </c>
      <c r="E12" s="6" t="str">
        <f>VLOOKUP(A12,COV!$1:$1048576,2,0)</f>
        <v>RJ14GN7689</v>
      </c>
      <c r="F12" s="17">
        <f>VLOOKUP(E12,DISTANCE!$1:$1048576,2,0)</f>
        <v>0.30069444444444443</v>
      </c>
      <c r="G12" s="17">
        <f>VLOOKUP(E12,DISTANCE!$1:$1048576,3,0)</f>
        <v>0.4465277777777778</v>
      </c>
      <c r="H12" s="18">
        <f>VLOOKUP(E12,DISTANCE!$1:$1048576,4,0)</f>
        <v>0.14592592592592593</v>
      </c>
      <c r="I12" s="7">
        <f>VLOOKUP(E12,DISTANCE!$1:$1048576,5,0)</f>
        <v>29.16</v>
      </c>
    </row>
    <row r="13" spans="1:9" x14ac:dyDescent="0.25">
      <c r="A13" t="s">
        <v>219</v>
      </c>
      <c r="B13" s="8">
        <v>13</v>
      </c>
      <c r="C13" s="7" t="s">
        <v>740</v>
      </c>
      <c r="D13" s="7" t="s">
        <v>420</v>
      </c>
      <c r="E13" s="6" t="str">
        <f>VLOOKUP(A13,COV!$1:$1048576,2,0)</f>
        <v>RJ14GN5753QT</v>
      </c>
      <c r="F13" s="17">
        <f>VLOOKUP(E13,DISTANCE!$1:$1048576,2,0)</f>
        <v>6.2500000000000003E-3</v>
      </c>
      <c r="G13" s="17">
        <f>VLOOKUP(E13,DISTANCE!$1:$1048576,3,0)</f>
        <v>0.64375000000000004</v>
      </c>
      <c r="H13" s="18">
        <f>VLOOKUP(E13,DISTANCE!$1:$1048576,4,0)</f>
        <v>0.63767361111111109</v>
      </c>
      <c r="I13" s="7">
        <f>VLOOKUP(E13,DISTANCE!$1:$1048576,5,0)</f>
        <v>22.75</v>
      </c>
    </row>
    <row r="14" spans="1:9" x14ac:dyDescent="0.25">
      <c r="A14" t="s">
        <v>230</v>
      </c>
      <c r="B14" s="8">
        <v>14</v>
      </c>
      <c r="C14" s="7" t="s">
        <v>740</v>
      </c>
      <c r="D14" s="7" t="s">
        <v>419</v>
      </c>
      <c r="E14" s="6" t="str">
        <f>VLOOKUP(A14,COV!$1:$1048576,2,0)</f>
        <v>RJ14GN7681</v>
      </c>
      <c r="F14" s="17">
        <f>VLOOKUP(E14,DISTANCE!$1:$1048576,2,0)</f>
        <v>0.21805555555555556</v>
      </c>
      <c r="G14" s="17">
        <f>VLOOKUP(E14,DISTANCE!$1:$1048576,3,0)</f>
        <v>0.50972222222222219</v>
      </c>
      <c r="H14" s="18">
        <f>VLOOKUP(E14,DISTANCE!$1:$1048576,4,0)</f>
        <v>0.29144675925925928</v>
      </c>
      <c r="I14" s="7">
        <f>VLOOKUP(E14,DISTANCE!$1:$1048576,5,0)</f>
        <v>36.75</v>
      </c>
    </row>
    <row r="15" spans="1:9" x14ac:dyDescent="0.25">
      <c r="A15" t="s">
        <v>252</v>
      </c>
      <c r="B15" s="8">
        <v>15</v>
      </c>
      <c r="C15" s="7" t="s">
        <v>740</v>
      </c>
      <c r="D15" s="7" t="s">
        <v>419</v>
      </c>
      <c r="E15" s="6" t="str">
        <f>VLOOKUP(A15,COV!$1:$1048576,2,0)</f>
        <v>RJ14GN7800</v>
      </c>
      <c r="F15" s="17">
        <f>VLOOKUP(E15,DISTANCE!$1:$1048576,2,0)</f>
        <v>0.24930555555555556</v>
      </c>
      <c r="G15" s="17">
        <f>VLOOKUP(E15,DISTANCE!$1:$1048576,3,0)</f>
        <v>0.61111111111111116</v>
      </c>
      <c r="H15" s="18">
        <f>VLOOKUP(E15,DISTANCE!$1:$1048576,4,0)</f>
        <v>0.36190972222222223</v>
      </c>
      <c r="I15" s="7">
        <f>VLOOKUP(E15,DISTANCE!$1:$1048576,5,0)</f>
        <v>35.03</v>
      </c>
    </row>
    <row r="16" spans="1:9" x14ac:dyDescent="0.25">
      <c r="A16" t="s">
        <v>270</v>
      </c>
      <c r="B16" s="8">
        <v>16</v>
      </c>
      <c r="C16" s="7" t="s">
        <v>740</v>
      </c>
      <c r="D16" s="7" t="s">
        <v>418</v>
      </c>
      <c r="E16" s="6" t="str">
        <f>VLOOKUP(A16,COV!$1:$1048576,2,0)</f>
        <v>RJ14GN7662</v>
      </c>
      <c r="F16" s="17">
        <f>VLOOKUP(E16,DISTANCE!$1:$1048576,2,0)</f>
        <v>0.27986111111111112</v>
      </c>
      <c r="G16" s="17">
        <f>VLOOKUP(E16,DISTANCE!$1:$1048576,3,0)</f>
        <v>0.5131944444444444</v>
      </c>
      <c r="H16" s="18">
        <f>VLOOKUP(E16,DISTANCE!$1:$1048576,4,0)</f>
        <v>0.2328587962962963</v>
      </c>
      <c r="I16" s="7">
        <f>VLOOKUP(E16,DISTANCE!$1:$1048576,5,0)</f>
        <v>22.58</v>
      </c>
    </row>
    <row r="17" spans="1:9" x14ac:dyDescent="0.25">
      <c r="A17" t="s">
        <v>310</v>
      </c>
      <c r="B17" s="8">
        <v>17</v>
      </c>
      <c r="C17" s="7" t="s">
        <v>740</v>
      </c>
      <c r="D17" s="7" t="s">
        <v>418</v>
      </c>
      <c r="E17" s="6" t="str">
        <f>VLOOKUP(A17,COV!$1:$1048576,2,0)</f>
        <v>RJ14GN7670</v>
      </c>
      <c r="F17" s="17">
        <f>VLOOKUP(E17,DISTANCE!$1:$1048576,2,0)</f>
        <v>0.28263888888888888</v>
      </c>
      <c r="G17" s="17">
        <f>VLOOKUP(E17,DISTANCE!$1:$1048576,3,0)</f>
        <v>0.64861111111111114</v>
      </c>
      <c r="H17" s="18">
        <f>VLOOKUP(E17,DISTANCE!$1:$1048576,4,0)</f>
        <v>0.36637731481481484</v>
      </c>
      <c r="I17" s="7">
        <f>VLOOKUP(E17,DISTANCE!$1:$1048576,5,0)</f>
        <v>64.52</v>
      </c>
    </row>
    <row r="18" spans="1:9" x14ac:dyDescent="0.25">
      <c r="A18" t="s">
        <v>218</v>
      </c>
      <c r="B18" s="8">
        <v>18</v>
      </c>
      <c r="C18" s="7" t="s">
        <v>740</v>
      </c>
      <c r="D18" s="7" t="s">
        <v>417</v>
      </c>
      <c r="E18" s="6" t="str">
        <f>VLOOKUP(A18,COV!$1:$1048576,2,0)</f>
        <v>RJ14GN7678</v>
      </c>
      <c r="F18" s="17">
        <f>VLOOKUP(E18,DISTANCE!$1:$1048576,2,0)</f>
        <v>0.24652777777777779</v>
      </c>
      <c r="G18" s="17">
        <f>VLOOKUP(E18,DISTANCE!$1:$1048576,3,0)</f>
        <v>0.49375000000000002</v>
      </c>
      <c r="H18" s="18">
        <f>VLOOKUP(E18,DISTANCE!$1:$1048576,4,0)</f>
        <v>0.24686342592592592</v>
      </c>
      <c r="I18" s="7">
        <f>VLOOKUP(E18,DISTANCE!$1:$1048576,5,0)</f>
        <v>39.18</v>
      </c>
    </row>
    <row r="19" spans="1:9" x14ac:dyDescent="0.25">
      <c r="A19" t="s">
        <v>233</v>
      </c>
      <c r="B19" s="8">
        <v>19</v>
      </c>
      <c r="C19" s="7" t="s">
        <v>740</v>
      </c>
      <c r="D19" s="7" t="s">
        <v>417</v>
      </c>
      <c r="E19" s="6" t="str">
        <f>VLOOKUP(A19,COV!$1:$1048576,2,0)</f>
        <v>RJ14GN7815</v>
      </c>
      <c r="F19" s="17">
        <f>VLOOKUP(E19,DISTANCE!$1:$1048576,2,0)</f>
        <v>0.31111111111111112</v>
      </c>
      <c r="G19" s="17">
        <f>VLOOKUP(E19,DISTANCE!$1:$1048576,3,0)</f>
        <v>0.53194444444444444</v>
      </c>
      <c r="H19" s="18">
        <f>VLOOKUP(E19,DISTANCE!$1:$1048576,4,0)</f>
        <v>0.22114583333333335</v>
      </c>
      <c r="I19" s="7">
        <f>VLOOKUP(E19,DISTANCE!$1:$1048576,5,0)</f>
        <v>33.71</v>
      </c>
    </row>
    <row r="20" spans="1:9" x14ac:dyDescent="0.25">
      <c r="A20" t="s">
        <v>209</v>
      </c>
      <c r="B20" s="8">
        <v>20</v>
      </c>
      <c r="C20" s="7" t="s">
        <v>740</v>
      </c>
      <c r="D20" s="7" t="s">
        <v>416</v>
      </c>
      <c r="E20" s="6" t="str">
        <f>VLOOKUP(A20,COV!$1:$1048576,2,0)</f>
        <v>RJ14GN7684</v>
      </c>
      <c r="F20" s="17">
        <f>VLOOKUP(E20,DISTANCE!$1:$1048576,2,0)</f>
        <v>0.27361111111111114</v>
      </c>
      <c r="G20" s="17">
        <f>VLOOKUP(E20,DISTANCE!$1:$1048576,3,0)</f>
        <v>0.54097222222222219</v>
      </c>
      <c r="H20" s="18">
        <f>VLOOKUP(E20,DISTANCE!$1:$1048576,4,0)</f>
        <v>0.26726851851851852</v>
      </c>
      <c r="I20" s="7">
        <f>VLOOKUP(E20,DISTANCE!$1:$1048576,5,0)</f>
        <v>35.950000000000003</v>
      </c>
    </row>
    <row r="21" spans="1:9" x14ac:dyDescent="0.25">
      <c r="A21" t="s">
        <v>258</v>
      </c>
      <c r="B21" s="8">
        <v>21</v>
      </c>
      <c r="C21" s="7" t="s">
        <v>740</v>
      </c>
      <c r="D21" s="7" t="s">
        <v>416</v>
      </c>
      <c r="E21" s="6" t="str">
        <f>VLOOKUP(A21,COV!$1:$1048576,2,0)</f>
        <v>RJ14GN7696</v>
      </c>
      <c r="F21" s="17">
        <f>VLOOKUP(E21,DISTANCE!$1:$1048576,2,0)</f>
        <v>0.31805555555555554</v>
      </c>
      <c r="G21" s="17">
        <f>VLOOKUP(E21,DISTANCE!$1:$1048576,3,0)</f>
        <v>0.59861111111111109</v>
      </c>
      <c r="H21" s="18">
        <f>VLOOKUP(E21,DISTANCE!$1:$1048576,4,0)</f>
        <v>0.28078703703703706</v>
      </c>
      <c r="I21" s="7">
        <f>VLOOKUP(E21,DISTANCE!$1:$1048576,5,0)</f>
        <v>34</v>
      </c>
    </row>
    <row r="22" spans="1:9" x14ac:dyDescent="0.25">
      <c r="A22" t="s">
        <v>201</v>
      </c>
      <c r="B22" s="8">
        <v>22</v>
      </c>
      <c r="C22" s="7" t="s">
        <v>740</v>
      </c>
      <c r="D22" s="7" t="s">
        <v>415</v>
      </c>
      <c r="E22" s="6" t="str">
        <f>VLOOKUP(A22,COV!$1:$1048576,2,0)</f>
        <v>RJ14GN8107</v>
      </c>
      <c r="F22" s="17">
        <f>VLOOKUP(E22,DISTANCE!$1:$1048576,2,0)</f>
        <v>0.28402777777777777</v>
      </c>
      <c r="G22" s="17">
        <f>VLOOKUP(E22,DISTANCE!$1:$1048576,3,0)</f>
        <v>0.46041666666666664</v>
      </c>
      <c r="H22" s="18">
        <f>VLOOKUP(E22,DISTANCE!$1:$1048576,4,0)</f>
        <v>0.17648148148148149</v>
      </c>
      <c r="I22" s="7">
        <f>VLOOKUP(E22,DISTANCE!$1:$1048576,5,0)</f>
        <v>25.72</v>
      </c>
    </row>
    <row r="23" spans="1:9" x14ac:dyDescent="0.25">
      <c r="A23" t="s">
        <v>273</v>
      </c>
      <c r="B23" s="8">
        <v>23</v>
      </c>
      <c r="C23" s="7" t="s">
        <v>740</v>
      </c>
      <c r="D23" s="7" t="s">
        <v>415</v>
      </c>
      <c r="E23" s="6" t="str">
        <f>VLOOKUP(A23,COV!$1:$1048576,2,0)</f>
        <v>RJ14GN7686</v>
      </c>
      <c r="F23" s="17">
        <f>VLOOKUP(E23,DISTANCE!$1:$1048576,2,0)</f>
        <v>0.24652777777777779</v>
      </c>
      <c r="G23" s="17">
        <f>VLOOKUP(E23,DISTANCE!$1:$1048576,3,0)</f>
        <v>0.53611111111111109</v>
      </c>
      <c r="H23" s="18">
        <f>VLOOKUP(E23,DISTANCE!$1:$1048576,4,0)</f>
        <v>0.28945601851851854</v>
      </c>
      <c r="I23" s="7">
        <f>VLOOKUP(E23,DISTANCE!$1:$1048576,5,0)</f>
        <v>43.69</v>
      </c>
    </row>
    <row r="24" spans="1:9" x14ac:dyDescent="0.25">
      <c r="A24" t="s">
        <v>297</v>
      </c>
      <c r="B24" s="8">
        <v>24</v>
      </c>
      <c r="C24" s="7" t="s">
        <v>740</v>
      </c>
      <c r="D24" s="7" t="s">
        <v>414</v>
      </c>
      <c r="E24" s="6" t="str">
        <f>VLOOKUP(A24,COV!$1:$1048576,2,0)</f>
        <v>RJ14GQ5296</v>
      </c>
      <c r="F24" s="17">
        <f>VLOOKUP(E24,DISTANCE!$1:$1048576,2,0)</f>
        <v>0.3</v>
      </c>
      <c r="G24" s="17">
        <f>VLOOKUP(E24,DISTANCE!$1:$1048576,3,0)</f>
        <v>0.46527777777777779</v>
      </c>
      <c r="H24" s="18">
        <f>VLOOKUP(E24,DISTANCE!$1:$1048576,4,0)</f>
        <v>0.16575231481481481</v>
      </c>
      <c r="I24" s="7">
        <f>VLOOKUP(E24,DISTANCE!$1:$1048576,5,0)</f>
        <v>28.6</v>
      </c>
    </row>
    <row r="25" spans="1:9" x14ac:dyDescent="0.25">
      <c r="A25" t="s">
        <v>298</v>
      </c>
      <c r="B25" s="8">
        <v>25</v>
      </c>
      <c r="C25" s="7" t="s">
        <v>740</v>
      </c>
      <c r="D25" s="7" t="s">
        <v>414</v>
      </c>
      <c r="E25" s="6" t="str">
        <f>VLOOKUP(A25,COV!$1:$1048576,2,0)</f>
        <v>RJ14GN7808</v>
      </c>
      <c r="F25" s="17">
        <f>VLOOKUP(E25,DISTANCE!$1:$1048576,2,0)</f>
        <v>0.30277777777777776</v>
      </c>
      <c r="G25" s="17">
        <f>VLOOKUP(E25,DISTANCE!$1:$1048576,3,0)</f>
        <v>0.56527777777777777</v>
      </c>
      <c r="H25" s="18">
        <f>VLOOKUP(E25,DISTANCE!$1:$1048576,4,0)</f>
        <v>0.26269675925925928</v>
      </c>
      <c r="I25" s="7">
        <f>VLOOKUP(E25,DISTANCE!$1:$1048576,5,0)</f>
        <v>18.829999999999998</v>
      </c>
    </row>
    <row r="26" spans="1:9" x14ac:dyDescent="0.25">
      <c r="A26" t="s">
        <v>308</v>
      </c>
      <c r="B26" s="8">
        <v>26</v>
      </c>
      <c r="C26" s="7" t="s">
        <v>740</v>
      </c>
      <c r="D26" s="7" t="s">
        <v>414</v>
      </c>
      <c r="E26" s="6" t="str">
        <f>VLOOKUP(A26,COV!$1:$1048576,2,0)</f>
        <v>RJ14GN7683</v>
      </c>
      <c r="F26" s="17">
        <f>VLOOKUP(E26,DISTANCE!$1:$1048576,2,0)</f>
        <v>1.3194444444444444E-2</v>
      </c>
      <c r="G26" s="17">
        <f>VLOOKUP(E26,DISTANCE!$1:$1048576,3,0)</f>
        <v>0.58819444444444446</v>
      </c>
      <c r="H26" s="18">
        <f>VLOOKUP(E26,DISTANCE!$1:$1048576,4,0)</f>
        <v>0.57552083333333337</v>
      </c>
      <c r="I26" s="7">
        <f>VLOOKUP(E26,DISTANCE!$1:$1048576,5,0)</f>
        <v>47.77</v>
      </c>
    </row>
    <row r="27" spans="1:9" x14ac:dyDescent="0.25">
      <c r="A27" t="s">
        <v>217</v>
      </c>
      <c r="B27" s="8">
        <v>27</v>
      </c>
      <c r="C27" s="7" t="s">
        <v>740</v>
      </c>
      <c r="D27" s="7" t="s">
        <v>413</v>
      </c>
      <c r="E27" s="6" t="str">
        <f>VLOOKUP(A27,COV!$1:$1048576,2,0)</f>
        <v>RJ14GN7685</v>
      </c>
      <c r="F27" s="17">
        <f>VLOOKUP(E27,DISTANCE!$1:$1048576,2,0)</f>
        <v>0.29791666666666666</v>
      </c>
      <c r="G27" s="17">
        <f>VLOOKUP(E27,DISTANCE!$1:$1048576,3,0)</f>
        <v>0.50694444444444442</v>
      </c>
      <c r="H27" s="18">
        <f>VLOOKUP(E27,DISTANCE!$1:$1048576,4,0)</f>
        <v>0.20840277777777777</v>
      </c>
      <c r="I27" s="7">
        <f>VLOOKUP(E27,DISTANCE!$1:$1048576,5,0)</f>
        <v>26.79</v>
      </c>
    </row>
    <row r="28" spans="1:9" x14ac:dyDescent="0.25">
      <c r="A28" t="s">
        <v>294</v>
      </c>
      <c r="B28" s="8">
        <v>28</v>
      </c>
      <c r="C28" s="7" t="s">
        <v>740</v>
      </c>
      <c r="D28" s="7" t="s">
        <v>413</v>
      </c>
      <c r="E28" s="6" t="str">
        <f>VLOOKUP(A28,COV!$1:$1048576,2,0)</f>
        <v>RJ14GN7699</v>
      </c>
      <c r="F28" s="17">
        <f>VLOOKUP(E28,DISTANCE!$1:$1048576,2,0)</f>
        <v>0.30902777777777779</v>
      </c>
      <c r="G28" s="17">
        <f>VLOOKUP(E28,DISTANCE!$1:$1048576,3,0)</f>
        <v>0.49166666666666664</v>
      </c>
      <c r="H28" s="18">
        <f>VLOOKUP(E28,DISTANCE!$1:$1048576,4,0)</f>
        <v>0.18268518518518517</v>
      </c>
      <c r="I28" s="7">
        <f>VLOOKUP(E28,DISTANCE!$1:$1048576,5,0)</f>
        <v>25.18</v>
      </c>
    </row>
    <row r="29" spans="1:9" x14ac:dyDescent="0.25">
      <c r="A29" t="s">
        <v>136</v>
      </c>
      <c r="B29" s="8">
        <v>29</v>
      </c>
      <c r="C29" s="7" t="s">
        <v>740</v>
      </c>
      <c r="D29" s="7" t="s">
        <v>412</v>
      </c>
      <c r="E29" s="6" t="str">
        <f>VLOOKUP(A29,COV!$1:$1048576,2,0)</f>
        <v>RJ14GQ5271</v>
      </c>
      <c r="F29" s="17">
        <f>VLOOKUP(E29,DISTANCE!$1:$1048576,2,0)</f>
        <v>0.30902777777777779</v>
      </c>
      <c r="G29" s="17">
        <f>VLOOKUP(E29,DISTANCE!$1:$1048576,3,0)</f>
        <v>0.44236111111111109</v>
      </c>
      <c r="H29" s="18">
        <f>VLOOKUP(E29,DISTANCE!$1:$1048576,4,0)</f>
        <v>0.13342592592592592</v>
      </c>
      <c r="I29" s="7">
        <f>VLOOKUP(E29,DISTANCE!$1:$1048576,5,0)</f>
        <v>24.45</v>
      </c>
    </row>
    <row r="30" spans="1:9" x14ac:dyDescent="0.25">
      <c r="A30" t="s">
        <v>231</v>
      </c>
      <c r="B30" s="8">
        <v>30</v>
      </c>
      <c r="C30" s="7" t="s">
        <v>740</v>
      </c>
      <c r="D30" s="7" t="s">
        <v>412</v>
      </c>
      <c r="E30" s="6" t="str">
        <f>VLOOKUP(A30,COV!$1:$1048576,2,0)</f>
        <v>RJ14GN7664</v>
      </c>
      <c r="F30" s="17">
        <f>VLOOKUP(E30,DISTANCE!$1:$1048576,2,0)</f>
        <v>0.2951388888888889</v>
      </c>
      <c r="G30" s="17">
        <f>VLOOKUP(E30,DISTANCE!$1:$1048576,3,0)</f>
        <v>0.55833333333333335</v>
      </c>
      <c r="H30" s="18">
        <f>VLOOKUP(E30,DISTANCE!$1:$1048576,4,0)</f>
        <v>0.2630439814814815</v>
      </c>
      <c r="I30" s="7">
        <f>VLOOKUP(E30,DISTANCE!$1:$1048576,5,0)</f>
        <v>39.619999999999997</v>
      </c>
    </row>
    <row r="31" spans="1:9" x14ac:dyDescent="0.25">
      <c r="A31" t="s">
        <v>249</v>
      </c>
      <c r="B31" s="8">
        <v>31</v>
      </c>
      <c r="C31" s="7" t="s">
        <v>740</v>
      </c>
      <c r="D31" s="7" t="s">
        <v>412</v>
      </c>
      <c r="E31" s="6" t="str">
        <f>VLOOKUP(A31,COV!$1:$1048576,2,0)</f>
        <v>RJ14GN5032</v>
      </c>
      <c r="F31" s="17">
        <f>VLOOKUP(E31,DISTANCE!$1:$1048576,2,0)</f>
        <v>0.28055555555555556</v>
      </c>
      <c r="G31" s="17">
        <f>VLOOKUP(E31,DISTANCE!$1:$1048576,3,0)</f>
        <v>0.53749999999999998</v>
      </c>
      <c r="H31" s="18">
        <f>VLOOKUP(E31,DISTANCE!$1:$1048576,4,0)</f>
        <v>0.2570486111111111</v>
      </c>
      <c r="I31" s="7">
        <f>VLOOKUP(E31,DISTANCE!$1:$1048576,5,0)</f>
        <v>41.53</v>
      </c>
    </row>
    <row r="32" spans="1:9" x14ac:dyDescent="0.25">
      <c r="A32" t="s">
        <v>124</v>
      </c>
      <c r="B32" s="8">
        <v>32</v>
      </c>
      <c r="C32" s="7" t="s">
        <v>740</v>
      </c>
      <c r="D32" s="7" t="s">
        <v>412</v>
      </c>
      <c r="E32" s="6" t="str">
        <f>VLOOKUP(A32,COV!$1:$1048576,2,0)</f>
        <v>RJ14GQ5275</v>
      </c>
      <c r="F32" s="17">
        <f>VLOOKUP(E32,DISTANCE!$1:$1048576,2,0)</f>
        <v>0.26805555555555555</v>
      </c>
      <c r="G32" s="17">
        <f>VLOOKUP(E32,DISTANCE!$1:$1048576,3,0)</f>
        <v>0.47222222222222221</v>
      </c>
      <c r="H32" s="18">
        <f>VLOOKUP(E32,DISTANCE!$1:$1048576,4,0)</f>
        <v>0.2044212962962963</v>
      </c>
      <c r="I32" s="7">
        <f>VLOOKUP(E32,DISTANCE!$1:$1048576,5,0)</f>
        <v>26.9</v>
      </c>
    </row>
    <row r="33" spans="1:9" x14ac:dyDescent="0.25">
      <c r="A33" t="s">
        <v>284</v>
      </c>
      <c r="B33" s="8">
        <v>33</v>
      </c>
      <c r="C33" s="7" t="s">
        <v>740</v>
      </c>
      <c r="D33" s="7" t="s">
        <v>412</v>
      </c>
      <c r="E33" s="6" t="str">
        <f>VLOOKUP(A33,COV!$1:$1048576,2,0)</f>
        <v>RJ14GN5193</v>
      </c>
      <c r="F33" s="17">
        <f>VLOOKUP(E33,DISTANCE!$1:$1048576,2,0)</f>
        <v>0.2638888888888889</v>
      </c>
      <c r="G33" s="17">
        <f>VLOOKUP(E33,DISTANCE!$1:$1048576,3,0)</f>
        <v>0.44305555555555554</v>
      </c>
      <c r="H33" s="18">
        <f>VLOOKUP(E33,DISTANCE!$1:$1048576,4,0)</f>
        <v>0.17905092592592592</v>
      </c>
      <c r="I33" s="7">
        <f>VLOOKUP(E33,DISTANCE!$1:$1048576,5,0)</f>
        <v>44.12</v>
      </c>
    </row>
    <row r="34" spans="1:9" x14ac:dyDescent="0.25">
      <c r="A34" t="s">
        <v>202</v>
      </c>
      <c r="B34" s="8">
        <v>34</v>
      </c>
      <c r="C34" s="7" t="s">
        <v>740</v>
      </c>
      <c r="D34" s="7" t="s">
        <v>411</v>
      </c>
      <c r="E34" s="6" t="str">
        <f>VLOOKUP(A34,COV!$1:$1048576,2,0)</f>
        <v>RJ14GN8108</v>
      </c>
      <c r="F34" s="17">
        <f>VLOOKUP(E34,DISTANCE!$1:$1048576,2,0)</f>
        <v>0.25972222222222224</v>
      </c>
      <c r="G34" s="17">
        <f>VLOOKUP(E34,DISTANCE!$1:$1048576,3,0)</f>
        <v>0.51875000000000004</v>
      </c>
      <c r="H34" s="18">
        <f>VLOOKUP(E34,DISTANCE!$1:$1048576,4,0)</f>
        <v>0.25917824074074075</v>
      </c>
      <c r="I34" s="7">
        <f>VLOOKUP(E34,DISTANCE!$1:$1048576,5,0)</f>
        <v>60.25</v>
      </c>
    </row>
    <row r="35" spans="1:9" x14ac:dyDescent="0.25">
      <c r="A35" t="s">
        <v>137</v>
      </c>
      <c r="B35" s="8">
        <v>35</v>
      </c>
      <c r="C35" s="7" t="s">
        <v>740</v>
      </c>
      <c r="D35" s="7" t="s">
        <v>411</v>
      </c>
      <c r="E35" s="6" t="str">
        <f>VLOOKUP(A35,COV!$1:$1048576,2,0)</f>
        <v>RJ14GQ5273</v>
      </c>
      <c r="F35" s="17">
        <f>VLOOKUP(E35,DISTANCE!$1:$1048576,2,0)</f>
        <v>0.27638888888888891</v>
      </c>
      <c r="G35" s="17">
        <f>VLOOKUP(E35,DISTANCE!$1:$1048576,3,0)</f>
        <v>0.51458333333333328</v>
      </c>
      <c r="H35" s="18">
        <f>VLOOKUP(E35,DISTANCE!$1:$1048576,4,0)</f>
        <v>0.23824074074074075</v>
      </c>
      <c r="I35" s="7">
        <f>VLOOKUP(E35,DISTANCE!$1:$1048576,5,0)</f>
        <v>41.69</v>
      </c>
    </row>
    <row r="36" spans="1:9" x14ac:dyDescent="0.25">
      <c r="A36" t="s">
        <v>216</v>
      </c>
      <c r="B36" s="8">
        <v>36</v>
      </c>
      <c r="C36" s="7" t="s">
        <v>740</v>
      </c>
      <c r="D36" s="7" t="s">
        <v>411</v>
      </c>
      <c r="E36" s="6" t="str">
        <f>VLOOKUP(A36,COV!$1:$1048576,2,0)</f>
        <v>RJ14GQ5298</v>
      </c>
      <c r="F36" s="17">
        <f>VLOOKUP(E36,DISTANCE!$1:$1048576,2,0)</f>
        <v>0.25</v>
      </c>
      <c r="G36" s="17">
        <f>VLOOKUP(E36,DISTANCE!$1:$1048576,3,0)</f>
        <v>0.49375000000000002</v>
      </c>
      <c r="H36" s="18">
        <f>VLOOKUP(E36,DISTANCE!$1:$1048576,4,0)</f>
        <v>0.24355324074074075</v>
      </c>
      <c r="I36" s="7">
        <f>VLOOKUP(E36,DISTANCE!$1:$1048576,5,0)</f>
        <v>53.75</v>
      </c>
    </row>
    <row r="37" spans="1:9" x14ac:dyDescent="0.25">
      <c r="A37" t="s">
        <v>228</v>
      </c>
      <c r="B37" s="8">
        <v>37</v>
      </c>
      <c r="C37" s="7" t="s">
        <v>740</v>
      </c>
      <c r="D37" s="7" t="s">
        <v>411</v>
      </c>
      <c r="E37" s="6" t="str">
        <f>VLOOKUP(A37,COV!$1:$1048576,2,0)</f>
        <v>RJ14GQ5277</v>
      </c>
      <c r="F37" s="17">
        <f>VLOOKUP(E37,DISTANCE!$1:$1048576,2,0)</f>
        <v>0.28680555555555554</v>
      </c>
      <c r="G37" s="17">
        <f>VLOOKUP(E37,DISTANCE!$1:$1048576,3,0)</f>
        <v>0.53402777777777777</v>
      </c>
      <c r="H37" s="18">
        <f>VLOOKUP(E37,DISTANCE!$1:$1048576,4,0)</f>
        <v>0.24751157407407406</v>
      </c>
      <c r="I37" s="7">
        <f>VLOOKUP(E37,DISTANCE!$1:$1048576,5,0)</f>
        <v>32.11</v>
      </c>
    </row>
    <row r="38" spans="1:9" x14ac:dyDescent="0.25">
      <c r="A38" t="s">
        <v>253</v>
      </c>
      <c r="B38" s="8">
        <v>38</v>
      </c>
      <c r="C38" s="7" t="s">
        <v>740</v>
      </c>
      <c r="D38" s="7" t="s">
        <v>411</v>
      </c>
      <c r="E38" s="6" t="str">
        <f>VLOOKUP(A38,COV!$1:$1048576,2,0)</f>
        <v>RJI4GQ5300</v>
      </c>
      <c r="F38" s="17">
        <f>VLOOKUP(E38,DISTANCE!$1:$1048576,2,0)</f>
        <v>2.5000000000000001E-2</v>
      </c>
      <c r="G38" s="17">
        <f>VLOOKUP(E38,DISTANCE!$1:$1048576,3,0)</f>
        <v>0.55347222222222225</v>
      </c>
      <c r="H38" s="18">
        <f>VLOOKUP(E38,DISTANCE!$1:$1048576,4,0)</f>
        <v>0.52859953703703699</v>
      </c>
      <c r="I38" s="7">
        <f>VLOOKUP(E38,DISTANCE!$1:$1048576,5,0)</f>
        <v>51.1</v>
      </c>
    </row>
    <row r="39" spans="1:9" x14ac:dyDescent="0.25">
      <c r="A39" t="s">
        <v>213</v>
      </c>
      <c r="B39" s="8">
        <v>39</v>
      </c>
      <c r="C39" s="7" t="s">
        <v>740</v>
      </c>
      <c r="D39" s="7" t="s">
        <v>410</v>
      </c>
      <c r="E39" s="6" t="str">
        <f>VLOOKUP(A39,COV!$1:$1048576,2,0)</f>
        <v>RJ14GN7799</v>
      </c>
      <c r="F39" s="17">
        <f>VLOOKUP(E39,DISTANCE!$1:$1048576,2,0)</f>
        <v>0.27013888888888887</v>
      </c>
      <c r="G39" s="17">
        <f>VLOOKUP(E39,DISTANCE!$1:$1048576,3,0)</f>
        <v>0.47569444444444442</v>
      </c>
      <c r="H39" s="18">
        <f>VLOOKUP(E39,DISTANCE!$1:$1048576,4,0)</f>
        <v>0.20546296296296296</v>
      </c>
      <c r="I39" s="7">
        <f>VLOOKUP(E39,DISTANCE!$1:$1048576,5,0)</f>
        <v>20.260000000000002</v>
      </c>
    </row>
    <row r="40" spans="1:9" x14ac:dyDescent="0.25">
      <c r="A40" t="s">
        <v>254</v>
      </c>
      <c r="B40" s="8">
        <v>40</v>
      </c>
      <c r="C40" s="7" t="s">
        <v>740</v>
      </c>
      <c r="D40" s="7" t="s">
        <v>410</v>
      </c>
      <c r="E40" s="6" t="str">
        <f>VLOOKUP(A40,COV!$1:$1048576,2,0)</f>
        <v>RJ14GN8112</v>
      </c>
      <c r="F40" s="17">
        <f>VLOOKUP(E40,DISTANCE!$1:$1048576,2,0)</f>
        <v>0.25416666666666665</v>
      </c>
      <c r="G40" s="17">
        <f>VLOOKUP(E40,DISTANCE!$1:$1048576,3,0)</f>
        <v>0.4513888888888889</v>
      </c>
      <c r="H40" s="18">
        <f>VLOOKUP(E40,DISTANCE!$1:$1048576,4,0)</f>
        <v>0.19715277777777779</v>
      </c>
      <c r="I40" s="7">
        <f>VLOOKUP(E40,DISTANCE!$1:$1048576,5,0)</f>
        <v>18.03</v>
      </c>
    </row>
    <row r="41" spans="1:9" x14ac:dyDescent="0.25">
      <c r="A41" t="s">
        <v>245</v>
      </c>
      <c r="B41" s="8">
        <v>41</v>
      </c>
      <c r="C41" s="7" t="s">
        <v>740</v>
      </c>
      <c r="D41" s="7" t="s">
        <v>409</v>
      </c>
      <c r="E41" s="6" t="str">
        <f>VLOOKUP(A41,COV!$1:$1048576,2,0)</f>
        <v>RJ14GN7688</v>
      </c>
      <c r="F41" s="17">
        <f>VLOOKUP(E41,DISTANCE!$1:$1048576,2,0)</f>
        <v>0.25833333333333336</v>
      </c>
      <c r="G41" s="17">
        <f>VLOOKUP(E41,DISTANCE!$1:$1048576,3,0)</f>
        <v>0.60277777777777775</v>
      </c>
      <c r="H41" s="18">
        <f>VLOOKUP(E41,DISTANCE!$1:$1048576,4,0)</f>
        <v>0.34482638888888889</v>
      </c>
      <c r="I41" s="7">
        <f>VLOOKUP(E41,DISTANCE!$1:$1048576,5,0)</f>
        <v>47.91</v>
      </c>
    </row>
    <row r="42" spans="1:9" x14ac:dyDescent="0.25">
      <c r="A42" t="s">
        <v>260</v>
      </c>
      <c r="B42" s="8">
        <v>42</v>
      </c>
      <c r="C42" s="7" t="s">
        <v>740</v>
      </c>
      <c r="D42" s="7" t="s">
        <v>409</v>
      </c>
      <c r="E42" s="6" t="str">
        <f>VLOOKUP(A42,COV!$1:$1048576,2,0)</f>
        <v>RJ14GN7697</v>
      </c>
      <c r="F42" s="17">
        <f>VLOOKUP(E42,DISTANCE!$1:$1048576,2,0)</f>
        <v>0.26458333333333334</v>
      </c>
      <c r="G42" s="17">
        <f>VLOOKUP(E42,DISTANCE!$1:$1048576,3,0)</f>
        <v>0.48541666666666666</v>
      </c>
      <c r="H42" s="18">
        <f>VLOOKUP(E42,DISTANCE!$1:$1048576,4,0)</f>
        <v>0.22085648148148149</v>
      </c>
      <c r="I42" s="7">
        <f>VLOOKUP(E42,DISTANCE!$1:$1048576,5,0)</f>
        <v>31.14</v>
      </c>
    </row>
    <row r="43" spans="1:9" x14ac:dyDescent="0.25">
      <c r="A43" t="s">
        <v>224</v>
      </c>
      <c r="B43" s="8">
        <v>43</v>
      </c>
      <c r="C43" s="7" t="s">
        <v>740</v>
      </c>
      <c r="D43" s="7" t="s">
        <v>408</v>
      </c>
      <c r="E43" s="6" t="str">
        <f>VLOOKUP(A43,COV!$1:$1048576,2,0)</f>
        <v>RJ14GN7675</v>
      </c>
      <c r="F43" s="17">
        <f>VLOOKUP(E43,DISTANCE!$1:$1048576,2,0)</f>
        <v>0.26874999999999999</v>
      </c>
      <c r="G43" s="17">
        <f>VLOOKUP(E43,DISTANCE!$1:$1048576,3,0)</f>
        <v>0.61250000000000004</v>
      </c>
      <c r="H43" s="18">
        <f>VLOOKUP(E43,DISTANCE!$1:$1048576,4,0)</f>
        <v>0.34386574074074072</v>
      </c>
      <c r="I43" s="7">
        <f>VLOOKUP(E43,DISTANCE!$1:$1048576,5,0)</f>
        <v>43.65</v>
      </c>
    </row>
    <row r="44" spans="1:9" x14ac:dyDescent="0.25">
      <c r="A44" t="s">
        <v>125</v>
      </c>
      <c r="B44" s="8">
        <v>44</v>
      </c>
      <c r="C44" s="7" t="s">
        <v>740</v>
      </c>
      <c r="D44" s="7" t="s">
        <v>408</v>
      </c>
      <c r="E44" s="6" t="str">
        <f>VLOOKUP(A44,COV!$1:$1048576,2,0)</f>
        <v>RJ14GQ5294</v>
      </c>
      <c r="F44" s="17">
        <f>VLOOKUP(E44,DISTANCE!$1:$1048576,2,0)</f>
        <v>4.1666666666666664E-2</v>
      </c>
      <c r="G44" s="17">
        <f>VLOOKUP(E44,DISTANCE!$1:$1048576,3,0)</f>
        <v>0.51180555555555551</v>
      </c>
      <c r="H44" s="18">
        <f>VLOOKUP(E44,DISTANCE!$1:$1048576,4,0)</f>
        <v>0.46984953703703702</v>
      </c>
      <c r="I44" s="7">
        <f>VLOOKUP(E44,DISTANCE!$1:$1048576,5,0)</f>
        <v>38.49</v>
      </c>
    </row>
    <row r="45" spans="1:9" x14ac:dyDescent="0.25">
      <c r="A45" t="s">
        <v>288</v>
      </c>
      <c r="B45" s="8">
        <v>45</v>
      </c>
      <c r="C45" s="7" t="s">
        <v>740</v>
      </c>
      <c r="D45" s="7" t="s">
        <v>408</v>
      </c>
      <c r="E45" s="6" t="str">
        <f>VLOOKUP(A45,COV!$1:$1048576,2,0)</f>
        <v>RJ14GN7666</v>
      </c>
      <c r="F45" s="17">
        <f>VLOOKUP(E45,DISTANCE!$1:$1048576,2,0)</f>
        <v>0.3034722222222222</v>
      </c>
      <c r="G45" s="17">
        <f>VLOOKUP(E45,DISTANCE!$1:$1048576,3,0)</f>
        <v>0.53680555555555554</v>
      </c>
      <c r="H45" s="18">
        <f>VLOOKUP(E45,DISTANCE!$1:$1048576,4,0)</f>
        <v>0.23303240740740741</v>
      </c>
      <c r="I45" s="7">
        <f>VLOOKUP(E45,DISTANCE!$1:$1048576,5,0)</f>
        <v>33.86</v>
      </c>
    </row>
    <row r="46" spans="1:9" x14ac:dyDescent="0.25">
      <c r="A46" t="s">
        <v>237</v>
      </c>
      <c r="B46" s="8">
        <v>46</v>
      </c>
      <c r="C46" s="7" t="s">
        <v>740</v>
      </c>
      <c r="D46" s="7" t="s">
        <v>407</v>
      </c>
      <c r="E46" s="6" t="str">
        <f>VLOOKUP(A46,COV!$1:$1048576,2,0)</f>
        <v>RJ14GN7823</v>
      </c>
      <c r="F46" s="17">
        <f>VLOOKUP(E46,DISTANCE!$1:$1048576,2,0)</f>
        <v>0.27916666666666667</v>
      </c>
      <c r="G46" s="17">
        <f>VLOOKUP(E46,DISTANCE!$1:$1048576,3,0)</f>
        <v>0.63263888888888886</v>
      </c>
      <c r="H46" s="18">
        <f>VLOOKUP(E46,DISTANCE!$1:$1048576,4,0)</f>
        <v>0.35309027777777779</v>
      </c>
      <c r="I46" s="7">
        <f>VLOOKUP(E46,DISTANCE!$1:$1048576,5,0)</f>
        <v>43.02</v>
      </c>
    </row>
    <row r="47" spans="1:9" x14ac:dyDescent="0.25">
      <c r="A47" t="s">
        <v>309</v>
      </c>
      <c r="B47" s="8">
        <v>47</v>
      </c>
      <c r="C47" s="7" t="s">
        <v>740</v>
      </c>
      <c r="D47" s="7" t="s">
        <v>407</v>
      </c>
      <c r="E47" s="6" t="str">
        <f>VLOOKUP(A47,COV!$1:$1048576,2,0)</f>
        <v>RJ14GN7672</v>
      </c>
      <c r="F47" s="17">
        <f>VLOOKUP(E47,DISTANCE!$1:$1048576,2,0)</f>
        <v>0.26874999999999999</v>
      </c>
      <c r="G47" s="17">
        <f>VLOOKUP(E47,DISTANCE!$1:$1048576,3,0)</f>
        <v>0.50486111111111109</v>
      </c>
      <c r="H47" s="18">
        <f>VLOOKUP(E47,DISTANCE!$1:$1048576,4,0)</f>
        <v>0.23624999999999999</v>
      </c>
      <c r="I47" s="7">
        <f>VLOOKUP(E47,DISTANCE!$1:$1048576,5,0)</f>
        <v>27.57</v>
      </c>
    </row>
    <row r="48" spans="1:9" x14ac:dyDescent="0.25">
      <c r="A48" t="s">
        <v>247</v>
      </c>
      <c r="B48" s="8">
        <v>48</v>
      </c>
      <c r="C48" s="7" t="s">
        <v>740</v>
      </c>
      <c r="D48" s="7" t="s">
        <v>406</v>
      </c>
      <c r="E48" s="6" t="str">
        <f>VLOOKUP(A48,COV!$1:$1048576,2,0)</f>
        <v>RJ14GN7695</v>
      </c>
      <c r="F48" s="17">
        <f>VLOOKUP(E48,DISTANCE!$1:$1048576,2,0)</f>
        <v>0.29166666666666669</v>
      </c>
      <c r="G48" s="17">
        <f>VLOOKUP(E48,DISTANCE!$1:$1048576,3,0)</f>
        <v>0.47430555555555554</v>
      </c>
      <c r="H48" s="18">
        <f>VLOOKUP(E48,DISTANCE!$1:$1048576,4,0)</f>
        <v>0.1825</v>
      </c>
      <c r="I48" s="7">
        <f>VLOOKUP(E48,DISTANCE!$1:$1048576,5,0)</f>
        <v>27.8</v>
      </c>
    </row>
    <row r="49" spans="1:9" x14ac:dyDescent="0.25">
      <c r="A49" t="s">
        <v>269</v>
      </c>
      <c r="B49" s="8">
        <v>49</v>
      </c>
      <c r="C49" s="7" t="s">
        <v>740</v>
      </c>
      <c r="D49" s="7" t="s">
        <v>406</v>
      </c>
      <c r="E49" s="6" t="str">
        <f>VLOOKUP(A49,COV!$1:$1048576,2,0)</f>
        <v>RJ14GN7810</v>
      </c>
      <c r="F49" s="17">
        <f>VLOOKUP(E49,DISTANCE!$1:$1048576,2,0)</f>
        <v>0.24236111111111111</v>
      </c>
      <c r="G49" s="17">
        <f>VLOOKUP(E49,DISTANCE!$1:$1048576,3,0)</f>
        <v>0.46666666666666667</v>
      </c>
      <c r="H49" s="18">
        <f>VLOOKUP(E49,DISTANCE!$1:$1048576,4,0)</f>
        <v>0.22471064814814815</v>
      </c>
      <c r="I49" s="7">
        <f>VLOOKUP(E49,DISTANCE!$1:$1048576,5,0)</f>
        <v>38.67</v>
      </c>
    </row>
    <row r="50" spans="1:9" x14ac:dyDescent="0.25">
      <c r="A50" t="s">
        <v>240</v>
      </c>
      <c r="B50" s="8">
        <v>50</v>
      </c>
      <c r="C50" s="7" t="s">
        <v>740</v>
      </c>
      <c r="D50" s="7" t="s">
        <v>405</v>
      </c>
      <c r="E50" s="6" t="str">
        <f>VLOOKUP(A50,COV!$1:$1048576,2,0)</f>
        <v>RJ14GN7698</v>
      </c>
      <c r="F50" s="17">
        <f>VLOOKUP(E50,DISTANCE!$1:$1048576,2,0)</f>
        <v>0.30902777777777779</v>
      </c>
      <c r="G50" s="17">
        <f>VLOOKUP(E50,DISTANCE!$1:$1048576,3,0)</f>
        <v>0.50347222222222221</v>
      </c>
      <c r="H50" s="18">
        <f>VLOOKUP(E50,DISTANCE!$1:$1048576,4,0)</f>
        <v>0.19422453703703704</v>
      </c>
      <c r="I50" s="7">
        <f>VLOOKUP(E50,DISTANCE!$1:$1048576,5,0)</f>
        <v>44.61</v>
      </c>
    </row>
    <row r="51" spans="1:9" x14ac:dyDescent="0.25">
      <c r="A51" t="s">
        <v>127</v>
      </c>
      <c r="B51" s="8">
        <v>51</v>
      </c>
      <c r="C51" s="7" t="s">
        <v>740</v>
      </c>
      <c r="D51" s="7" t="s">
        <v>405</v>
      </c>
      <c r="E51" s="6" t="str">
        <f>VLOOKUP(A51,COV!$1:$1048576,2,0)</f>
        <v>RJ14GQ5290</v>
      </c>
      <c r="F51" s="17">
        <f>VLOOKUP(E51,DISTANCE!$1:$1048576,2,0)</f>
        <v>0.39791666666666664</v>
      </c>
      <c r="G51" s="17">
        <f>VLOOKUP(E51,DISTANCE!$1:$1048576,3,0)</f>
        <v>0.44722222222222224</v>
      </c>
      <c r="H51" s="18">
        <f>VLOOKUP(E51,DISTANCE!$1:$1048576,4,0)</f>
        <v>4.9039351851851855E-2</v>
      </c>
      <c r="I51" s="7">
        <f>VLOOKUP(E51,DISTANCE!$1:$1048576,5,0)</f>
        <v>1.04</v>
      </c>
    </row>
    <row r="52" spans="1:9" x14ac:dyDescent="0.25">
      <c r="A52" t="s">
        <v>263</v>
      </c>
      <c r="B52" s="8">
        <v>52</v>
      </c>
      <c r="C52" s="7" t="s">
        <v>740</v>
      </c>
      <c r="D52" s="7" t="s">
        <v>405</v>
      </c>
      <c r="E52" s="6" t="str">
        <f>VLOOKUP(A52,COV!$1:$1048576,2,0)</f>
        <v>RJ14GN7819</v>
      </c>
      <c r="F52" s="17">
        <f>VLOOKUP(E52,DISTANCE!$1:$1048576,2,0)</f>
        <v>0.27569444444444446</v>
      </c>
      <c r="G52" s="17">
        <f>VLOOKUP(E52,DISTANCE!$1:$1048576,3,0)</f>
        <v>0.56458333333333333</v>
      </c>
      <c r="H52" s="18">
        <f>VLOOKUP(E52,DISTANCE!$1:$1048576,4,0)</f>
        <v>0.28901620370370368</v>
      </c>
      <c r="I52" s="7">
        <f>VLOOKUP(E52,DISTANCE!$1:$1048576,5,0)</f>
        <v>23.58</v>
      </c>
    </row>
    <row r="53" spans="1:9" x14ac:dyDescent="0.25">
      <c r="A53" t="s">
        <v>244</v>
      </c>
      <c r="B53" s="8">
        <v>53</v>
      </c>
      <c r="C53" s="7" t="s">
        <v>740</v>
      </c>
      <c r="D53" s="7" t="s">
        <v>404</v>
      </c>
      <c r="E53" s="6" t="str">
        <f>VLOOKUP(A53,COV!$1:$1048576,2,0)</f>
        <v>RJ14GN7802</v>
      </c>
      <c r="F53" s="17">
        <f>VLOOKUP(E53,DISTANCE!$1:$1048576,2,0)</f>
        <v>0.26111111111111113</v>
      </c>
      <c r="G53" s="17">
        <f>VLOOKUP(E53,DISTANCE!$1:$1048576,3,0)</f>
        <v>0.52708333333333335</v>
      </c>
      <c r="H53" s="18">
        <f>VLOOKUP(E53,DISTANCE!$1:$1048576,4,0)</f>
        <v>0.26590277777777777</v>
      </c>
      <c r="I53" s="7">
        <f>VLOOKUP(E53,DISTANCE!$1:$1048576,5,0)</f>
        <v>36.11</v>
      </c>
    </row>
    <row r="54" spans="1:9" x14ac:dyDescent="0.25">
      <c r="A54" t="s">
        <v>262</v>
      </c>
      <c r="B54" s="8">
        <v>54</v>
      </c>
      <c r="C54" s="7" t="s">
        <v>740</v>
      </c>
      <c r="D54" s="7" t="s">
        <v>404</v>
      </c>
      <c r="E54" s="6" t="str">
        <f>VLOOKUP(A54,COV!$1:$1048576,2,0)</f>
        <v>RJ14GN7797</v>
      </c>
      <c r="F54" s="17">
        <f>VLOOKUP(E54,DISTANCE!$1:$1048576,2,0)</f>
        <v>0.28194444444444444</v>
      </c>
      <c r="G54" s="17">
        <f>VLOOKUP(E54,DISTANCE!$1:$1048576,3,0)</f>
        <v>0.4826388888888889</v>
      </c>
      <c r="H54" s="18">
        <f>VLOOKUP(E54,DISTANCE!$1:$1048576,4,0)</f>
        <v>0.20040509259259259</v>
      </c>
      <c r="I54" s="7">
        <f>VLOOKUP(E54,DISTANCE!$1:$1048576,5,0)</f>
        <v>29.16</v>
      </c>
    </row>
    <row r="55" spans="1:9" x14ac:dyDescent="0.25">
      <c r="A55" t="s">
        <v>268</v>
      </c>
      <c r="B55" s="8">
        <v>55</v>
      </c>
      <c r="C55" s="7" t="s">
        <v>740</v>
      </c>
      <c r="D55" s="7" t="s">
        <v>403</v>
      </c>
      <c r="E55" s="6" t="str">
        <f>VLOOKUP(A55,COV!$1:$1048576,2,0)</f>
        <v>RJ14GN7803</v>
      </c>
      <c r="F55" s="17">
        <f>VLOOKUP(E55,DISTANCE!$1:$1048576,2,0)</f>
        <v>0.28819444444444442</v>
      </c>
      <c r="G55" s="17">
        <f>VLOOKUP(E55,DISTANCE!$1:$1048576,3,0)</f>
        <v>0.49166666666666664</v>
      </c>
      <c r="H55" s="18">
        <f>VLOOKUP(E55,DISTANCE!$1:$1048576,4,0)</f>
        <v>0.20347222222222222</v>
      </c>
      <c r="I55" s="7">
        <f>VLOOKUP(E55,DISTANCE!$1:$1048576,5,0)</f>
        <v>24.65</v>
      </c>
    </row>
    <row r="56" spans="1:9" x14ac:dyDescent="0.25">
      <c r="A56" t="s">
        <v>299</v>
      </c>
      <c r="B56" s="8">
        <v>56</v>
      </c>
      <c r="C56" s="7" t="s">
        <v>740</v>
      </c>
      <c r="D56" s="7" t="s">
        <v>403</v>
      </c>
      <c r="E56" s="6" t="str">
        <f>VLOOKUP(A56,COV!$1:$1048576,2,0)</f>
        <v>RJ14GN7694</v>
      </c>
      <c r="F56" s="17">
        <f>VLOOKUP(E56,DISTANCE!$1:$1048576,2,0)</f>
        <v>0.31805555555555554</v>
      </c>
      <c r="G56" s="17">
        <f>VLOOKUP(E56,DISTANCE!$1:$1048576,3,0)</f>
        <v>0.50138888888888888</v>
      </c>
      <c r="H56" s="18">
        <f>VLOOKUP(E56,DISTANCE!$1:$1048576,4,0)</f>
        <v>0.18313657407407408</v>
      </c>
      <c r="I56" s="7">
        <f>VLOOKUP(E56,DISTANCE!$1:$1048576,5,0)</f>
        <v>22.58</v>
      </c>
    </row>
    <row r="57" spans="1:9" x14ac:dyDescent="0.25">
      <c r="A57" t="s">
        <v>243</v>
      </c>
      <c r="B57" s="8">
        <v>57</v>
      </c>
      <c r="C57" s="7" t="s">
        <v>740</v>
      </c>
      <c r="D57" s="7" t="s">
        <v>402</v>
      </c>
      <c r="E57" s="6" t="str">
        <f>VLOOKUP(A57,COV!$1:$1048576,2,0)</f>
        <v>RJ14GN7820</v>
      </c>
      <c r="F57" s="17">
        <f>VLOOKUP(E57,DISTANCE!$1:$1048576,2,0)</f>
        <v>0.28819444444444442</v>
      </c>
      <c r="G57" s="17">
        <f>VLOOKUP(E57,DISTANCE!$1:$1048576,3,0)</f>
        <v>0.52430555555555558</v>
      </c>
      <c r="H57" s="18">
        <f>VLOOKUP(E57,DISTANCE!$1:$1048576,4,0)</f>
        <v>0.23644675925925926</v>
      </c>
      <c r="I57" s="7">
        <f>VLOOKUP(E57,DISTANCE!$1:$1048576,5,0)</f>
        <v>43.16</v>
      </c>
    </row>
    <row r="58" spans="1:9" x14ac:dyDescent="0.25">
      <c r="A58" t="s">
        <v>286</v>
      </c>
      <c r="B58" s="8">
        <v>58</v>
      </c>
      <c r="C58" s="7" t="s">
        <v>740</v>
      </c>
      <c r="D58" s="7" t="s">
        <v>402</v>
      </c>
      <c r="E58" s="6" t="str">
        <f>VLOOKUP(A58,COV!$1:$1048576,2,0)</f>
        <v>RJ14GN7811</v>
      </c>
      <c r="F58" s="17">
        <f>VLOOKUP(E58,DISTANCE!$1:$1048576,2,0)</f>
        <v>0.26666666666666666</v>
      </c>
      <c r="G58" s="17">
        <f>VLOOKUP(E58,DISTANCE!$1:$1048576,3,0)</f>
        <v>0.57152777777777775</v>
      </c>
      <c r="H58" s="18">
        <f>VLOOKUP(E58,DISTANCE!$1:$1048576,4,0)</f>
        <v>0.3044560185185185</v>
      </c>
      <c r="I58" s="7">
        <f>VLOOKUP(E58,DISTANCE!$1:$1048576,5,0)</f>
        <v>45.41</v>
      </c>
    </row>
    <row r="59" spans="1:9" x14ac:dyDescent="0.25">
      <c r="A59" t="s">
        <v>204</v>
      </c>
      <c r="B59" s="8">
        <v>59</v>
      </c>
      <c r="C59" s="7" t="s">
        <v>740</v>
      </c>
      <c r="D59" s="7" t="s">
        <v>401</v>
      </c>
      <c r="E59" s="6" t="str">
        <f>VLOOKUP(A59,COV!$1:$1048576,2,0)</f>
        <v>RJ14GN7682</v>
      </c>
      <c r="F59" s="17">
        <f>VLOOKUP(E59,DISTANCE!$1:$1048576,2,0)</f>
        <v>0.27361111111111114</v>
      </c>
      <c r="G59" s="17">
        <f>VLOOKUP(E59,DISTANCE!$1:$1048576,3,0)</f>
        <v>0.63680555555555551</v>
      </c>
      <c r="H59" s="18">
        <f>VLOOKUP(E59,DISTANCE!$1:$1048576,4,0)</f>
        <v>0.36284722222222221</v>
      </c>
      <c r="I59" s="7">
        <f>VLOOKUP(E59,DISTANCE!$1:$1048576,5,0)</f>
        <v>27.99</v>
      </c>
    </row>
    <row r="60" spans="1:9" x14ac:dyDescent="0.25">
      <c r="A60" t="s">
        <v>221</v>
      </c>
      <c r="B60" s="8">
        <v>60</v>
      </c>
      <c r="C60" s="7" t="s">
        <v>740</v>
      </c>
      <c r="D60" s="7" t="s">
        <v>401</v>
      </c>
      <c r="E60" s="6" t="str">
        <f>VLOOKUP(A60,COV!$1:$1048576,2,0)</f>
        <v>RJ14GN7809</v>
      </c>
      <c r="F60" s="17">
        <f>VLOOKUP(E60,DISTANCE!$1:$1048576,2,0)</f>
        <v>0.3</v>
      </c>
      <c r="G60" s="17">
        <f>VLOOKUP(E60,DISTANCE!$1:$1048576,3,0)</f>
        <v>0.52361111111111114</v>
      </c>
      <c r="H60" s="18">
        <f>VLOOKUP(E60,DISTANCE!$1:$1048576,4,0)</f>
        <v>0.22322916666666667</v>
      </c>
      <c r="I60" s="7">
        <f>VLOOKUP(E60,DISTANCE!$1:$1048576,5,0)</f>
        <v>37.69</v>
      </c>
    </row>
    <row r="61" spans="1:9" x14ac:dyDescent="0.25">
      <c r="A61" t="s">
        <v>248</v>
      </c>
      <c r="B61" s="8">
        <v>61</v>
      </c>
      <c r="C61" s="7" t="s">
        <v>740</v>
      </c>
      <c r="D61" s="7" t="s">
        <v>400</v>
      </c>
      <c r="E61" s="6" t="str">
        <f>VLOOKUP(A61,COV!$1:$1048576,2,0)</f>
        <v>RJ14GN8113</v>
      </c>
      <c r="F61" s="17">
        <f>VLOOKUP(E61,DISTANCE!$1:$1048576,2,0)</f>
        <v>0.28402777777777777</v>
      </c>
      <c r="G61" s="17">
        <f>VLOOKUP(E61,DISTANCE!$1:$1048576,3,0)</f>
        <v>0.51736111111111116</v>
      </c>
      <c r="H61" s="18">
        <f>VLOOKUP(E61,DISTANCE!$1:$1048576,4,0)</f>
        <v>0.23363425925925926</v>
      </c>
      <c r="I61" s="7">
        <f>VLOOKUP(E61,DISTANCE!$1:$1048576,5,0)</f>
        <v>33.450000000000003</v>
      </c>
    </row>
    <row r="62" spans="1:9" x14ac:dyDescent="0.25">
      <c r="A62" t="s">
        <v>265</v>
      </c>
      <c r="B62" s="8">
        <v>62</v>
      </c>
      <c r="C62" s="7" t="s">
        <v>740</v>
      </c>
      <c r="D62" s="7" t="s">
        <v>400</v>
      </c>
      <c r="E62" s="6" t="str">
        <f>VLOOKUP(A62,COV!$1:$1048576,2,0)</f>
        <v>RJ14GN7795</v>
      </c>
      <c r="F62" s="17">
        <f>VLOOKUP(E62,DISTANCE!$1:$1048576,2,0)</f>
        <v>0.28611111111111109</v>
      </c>
      <c r="G62" s="17">
        <f>VLOOKUP(E62,DISTANCE!$1:$1048576,3,0)</f>
        <v>0.55277777777777781</v>
      </c>
      <c r="H62" s="18">
        <f>VLOOKUP(E62,DISTANCE!$1:$1048576,4,0)</f>
        <v>0.26675925925925925</v>
      </c>
      <c r="I62" s="7">
        <f>VLOOKUP(E62,DISTANCE!$1:$1048576,5,0)</f>
        <v>37.83</v>
      </c>
    </row>
    <row r="63" spans="1:9" x14ac:dyDescent="0.25">
      <c r="A63" t="s">
        <v>302</v>
      </c>
      <c r="B63" s="8">
        <v>63</v>
      </c>
      <c r="C63" s="7" t="s">
        <v>740</v>
      </c>
      <c r="D63" s="7" t="s">
        <v>399</v>
      </c>
      <c r="E63" s="6" t="str">
        <f>VLOOKUP(A63,COV!$1:$1048576,2,0)</f>
        <v>RJ14GN7667</v>
      </c>
      <c r="F63" s="17">
        <f>VLOOKUP(E63,DISTANCE!$1:$1048576,2,0)</f>
        <v>0.20972222222222223</v>
      </c>
      <c r="G63" s="17">
        <f>VLOOKUP(E63,DISTANCE!$1:$1048576,3,0)</f>
        <v>0.5708333333333333</v>
      </c>
      <c r="H63" s="18">
        <f>VLOOKUP(E63,DISTANCE!$1:$1048576,4,0)</f>
        <v>0.36116898148148147</v>
      </c>
      <c r="I63" s="7">
        <f>VLOOKUP(E63,DISTANCE!$1:$1048576,5,0)</f>
        <v>43.11</v>
      </c>
    </row>
    <row r="64" spans="1:9" x14ac:dyDescent="0.25">
      <c r="A64" t="s">
        <v>304</v>
      </c>
      <c r="B64" s="8">
        <v>64</v>
      </c>
      <c r="C64" s="7" t="s">
        <v>740</v>
      </c>
      <c r="D64" s="7" t="s">
        <v>399</v>
      </c>
      <c r="E64" s="6" t="str">
        <f>VLOOKUP(A64,COV!$1:$1048576,2,0)</f>
        <v>RJ14GN7661</v>
      </c>
      <c r="F64" s="17" t="e">
        <f>VLOOKUP(E64,DISTANCE!$1:$1048576,2,0)</f>
        <v>#N/A</v>
      </c>
      <c r="G64" s="17" t="e">
        <f>VLOOKUP(E64,DISTANCE!$1:$1048576,3,0)</f>
        <v>#N/A</v>
      </c>
      <c r="H64" s="18" t="e">
        <f>VLOOKUP(E64,DISTANCE!$1:$1048576,4,0)</f>
        <v>#N/A</v>
      </c>
      <c r="I64" s="7" t="e">
        <f>VLOOKUP(E64,DISTANCE!$1:$1048576,5,0)</f>
        <v>#N/A</v>
      </c>
    </row>
    <row r="65" spans="1:9" x14ac:dyDescent="0.25">
      <c r="A65" t="s">
        <v>229</v>
      </c>
      <c r="B65" s="8">
        <v>65</v>
      </c>
      <c r="C65" s="7" t="s">
        <v>740</v>
      </c>
      <c r="D65" s="7" t="s">
        <v>398</v>
      </c>
      <c r="E65" s="6" t="str">
        <f>VLOOKUP(A65,COV!$1:$1048576,2,0)</f>
        <v>RJ14GN8489</v>
      </c>
      <c r="F65" s="17">
        <f>VLOOKUP(E65,DISTANCE!$1:$1048576,2,0)</f>
        <v>0.28749999999999998</v>
      </c>
      <c r="G65" s="17">
        <f>VLOOKUP(E65,DISTANCE!$1:$1048576,3,0)</f>
        <v>0.63958333333333328</v>
      </c>
      <c r="H65" s="18">
        <f>VLOOKUP(E65,DISTANCE!$1:$1048576,4,0)</f>
        <v>0.35241898148148149</v>
      </c>
      <c r="I65" s="7">
        <f>VLOOKUP(E65,DISTANCE!$1:$1048576,5,0)</f>
        <v>27.83</v>
      </c>
    </row>
    <row r="66" spans="1:9" x14ac:dyDescent="0.25">
      <c r="A66" t="s">
        <v>250</v>
      </c>
      <c r="B66" s="8">
        <v>66</v>
      </c>
      <c r="C66" s="7" t="s">
        <v>740</v>
      </c>
      <c r="D66" s="7" t="s">
        <v>398</v>
      </c>
      <c r="E66" s="6" t="str">
        <f>VLOOKUP(A66,COV!$1:$1048576,2,0)</f>
        <v>RJ14GN7814</v>
      </c>
      <c r="F66" s="17">
        <f>VLOOKUP(E66,DISTANCE!$1:$1048576,2,0)</f>
        <v>0.27638888888888891</v>
      </c>
      <c r="G66" s="17">
        <f>VLOOKUP(E66,DISTANCE!$1:$1048576,3,0)</f>
        <v>0.48402777777777778</v>
      </c>
      <c r="H66" s="18">
        <f>VLOOKUP(E66,DISTANCE!$1:$1048576,4,0)</f>
        <v>0.20747685185185186</v>
      </c>
      <c r="I66" s="7">
        <f>VLOOKUP(E66,DISTANCE!$1:$1048576,5,0)</f>
        <v>28.24</v>
      </c>
    </row>
    <row r="67" spans="1:9" x14ac:dyDescent="0.25">
      <c r="A67" t="s">
        <v>259</v>
      </c>
      <c r="B67" s="8">
        <v>67</v>
      </c>
      <c r="C67" s="7" t="s">
        <v>740</v>
      </c>
      <c r="D67" s="7" t="s">
        <v>398</v>
      </c>
      <c r="E67" s="6" t="str">
        <f>VLOOKUP(A67,COV!$1:$1048576,2,0)</f>
        <v>RJ14GN7822</v>
      </c>
      <c r="F67" s="17">
        <f>VLOOKUP(E67,DISTANCE!$1:$1048576,2,0)</f>
        <v>0.29583333333333334</v>
      </c>
      <c r="G67" s="17">
        <f>VLOOKUP(E67,DISTANCE!$1:$1048576,3,0)</f>
        <v>0.51597222222222228</v>
      </c>
      <c r="H67" s="18">
        <f>VLOOKUP(E67,DISTANCE!$1:$1048576,4,0)</f>
        <v>0.22027777777777777</v>
      </c>
      <c r="I67" s="7">
        <f>VLOOKUP(E67,DISTANCE!$1:$1048576,5,0)</f>
        <v>29.9</v>
      </c>
    </row>
    <row r="68" spans="1:9" x14ac:dyDescent="0.25">
      <c r="A68" t="s">
        <v>232</v>
      </c>
      <c r="B68" s="8">
        <v>68</v>
      </c>
      <c r="C68" s="7" t="s">
        <v>740</v>
      </c>
      <c r="D68" s="7" t="s">
        <v>397</v>
      </c>
      <c r="E68" s="6" t="str">
        <f>VLOOKUP(A68,COV!$1:$1048576,2,0)</f>
        <v>RJ14GQ5270</v>
      </c>
      <c r="F68" s="17">
        <f>VLOOKUP(E68,DISTANCE!$1:$1048576,2,0)</f>
        <v>0.29236111111111113</v>
      </c>
      <c r="G68" s="17">
        <f>VLOOKUP(E68,DISTANCE!$1:$1048576,3,0)</f>
        <v>0.49166666666666664</v>
      </c>
      <c r="H68" s="18">
        <f>VLOOKUP(E68,DISTANCE!$1:$1048576,4,0)</f>
        <v>0.199375</v>
      </c>
      <c r="I68" s="7">
        <f>VLOOKUP(E68,DISTANCE!$1:$1048576,5,0)</f>
        <v>21.67</v>
      </c>
    </row>
    <row r="69" spans="1:9" x14ac:dyDescent="0.25">
      <c r="A69" t="s">
        <v>285</v>
      </c>
      <c r="B69" s="8">
        <v>69</v>
      </c>
      <c r="C69" s="7" t="s">
        <v>740</v>
      </c>
      <c r="D69" s="7" t="s">
        <v>397</v>
      </c>
      <c r="E69" s="6" t="str">
        <f>VLOOKUP(A69,COV!$1:$1048576,2,0)</f>
        <v>RJ14GN8106</v>
      </c>
      <c r="F69" s="17">
        <f>VLOOKUP(E69,DISTANCE!$1:$1048576,2,0)</f>
        <v>0.28263888888888888</v>
      </c>
      <c r="G69" s="17">
        <f>VLOOKUP(E69,DISTANCE!$1:$1048576,3,0)</f>
        <v>0.42222222222222222</v>
      </c>
      <c r="H69" s="18">
        <f>VLOOKUP(E69,DISTANCE!$1:$1048576,4,0)</f>
        <v>0.14006944444444444</v>
      </c>
      <c r="I69" s="7">
        <f>VLOOKUP(E69,DISTANCE!$1:$1048576,5,0)</f>
        <v>21.61</v>
      </c>
    </row>
    <row r="70" spans="1:9" x14ac:dyDescent="0.25">
      <c r="A70" t="s">
        <v>246</v>
      </c>
      <c r="B70" s="8">
        <v>70</v>
      </c>
      <c r="C70" s="7" t="s">
        <v>740</v>
      </c>
      <c r="D70" s="7" t="s">
        <v>396</v>
      </c>
      <c r="E70" s="6" t="str">
        <f>VLOOKUP(A70,COV!$1:$1048576,2,0)</f>
        <v>RJ14GN8473</v>
      </c>
      <c r="F70" s="17">
        <f>VLOOKUP(E70,DISTANCE!$1:$1048576,2,0)</f>
        <v>9.6527777777777782E-2</v>
      </c>
      <c r="G70" s="17">
        <f>VLOOKUP(E70,DISTANCE!$1:$1048576,3,0)</f>
        <v>0.55486111111111114</v>
      </c>
      <c r="H70" s="18">
        <f>VLOOKUP(E70,DISTANCE!$1:$1048576,4,0)</f>
        <v>0.45879629629629631</v>
      </c>
      <c r="I70" s="7">
        <f>VLOOKUP(E70,DISTANCE!$1:$1048576,5,0)</f>
        <v>33.29</v>
      </c>
    </row>
    <row r="71" spans="1:9" x14ac:dyDescent="0.25">
      <c r="A71" t="s">
        <v>282</v>
      </c>
      <c r="B71" s="8">
        <v>71</v>
      </c>
      <c r="C71" s="7" t="s">
        <v>740</v>
      </c>
      <c r="D71" s="7" t="s">
        <v>396</v>
      </c>
      <c r="E71" s="6" t="str">
        <f>VLOOKUP(A71,COV!$1:$1048576,2,0)</f>
        <v>RJ14GN7663</v>
      </c>
      <c r="F71" s="17">
        <f>VLOOKUP(E71,DISTANCE!$1:$1048576,2,0)</f>
        <v>0.28611111111111109</v>
      </c>
      <c r="G71" s="17">
        <f>VLOOKUP(E71,DISTANCE!$1:$1048576,3,0)</f>
        <v>0.52916666666666667</v>
      </c>
      <c r="H71" s="18">
        <f>VLOOKUP(E71,DISTANCE!$1:$1048576,4,0)</f>
        <v>0.24309027777777778</v>
      </c>
      <c r="I71" s="7">
        <f>VLOOKUP(E71,DISTANCE!$1:$1048576,5,0)</f>
        <v>23.2</v>
      </c>
    </row>
    <row r="72" spans="1:9" x14ac:dyDescent="0.25">
      <c r="A72" t="s">
        <v>205</v>
      </c>
      <c r="B72" s="8">
        <v>72</v>
      </c>
      <c r="C72" s="7" t="s">
        <v>740</v>
      </c>
      <c r="D72" s="7" t="s">
        <v>395</v>
      </c>
      <c r="E72" s="6" t="str">
        <f>VLOOKUP(A72,COV!$1:$1048576,2,0)</f>
        <v>RJ14GN8109</v>
      </c>
      <c r="F72" s="17">
        <f>VLOOKUP(E72,DISTANCE!$1:$1048576,2,0)</f>
        <v>0.29722222222222222</v>
      </c>
      <c r="G72" s="17">
        <f>VLOOKUP(E72,DISTANCE!$1:$1048576,3,0)</f>
        <v>0.50069444444444444</v>
      </c>
      <c r="H72" s="18">
        <f>VLOOKUP(E72,DISTANCE!$1:$1048576,4,0)</f>
        <v>0.20358796296296297</v>
      </c>
      <c r="I72" s="7">
        <f>VLOOKUP(E72,DISTANCE!$1:$1048576,5,0)</f>
        <v>20.28</v>
      </c>
    </row>
    <row r="73" spans="1:9" x14ac:dyDescent="0.25">
      <c r="A73" t="s">
        <v>238</v>
      </c>
      <c r="B73" s="8">
        <v>73</v>
      </c>
      <c r="C73" s="7" t="s">
        <v>740</v>
      </c>
      <c r="D73" s="7" t="s">
        <v>395</v>
      </c>
      <c r="E73" s="6" t="str">
        <f>VLOOKUP(A73,COV!$1:$1048576,2,0)</f>
        <v>RJ14GN7824</v>
      </c>
      <c r="F73" s="17">
        <f>VLOOKUP(E73,DISTANCE!$1:$1048576,2,0)</f>
        <v>0.22361111111111112</v>
      </c>
      <c r="G73" s="17">
        <f>VLOOKUP(E73,DISTANCE!$1:$1048576,3,0)</f>
        <v>0.51041666666666663</v>
      </c>
      <c r="H73" s="18">
        <f>VLOOKUP(E73,DISTANCE!$1:$1048576,4,0)</f>
        <v>0.28677083333333331</v>
      </c>
      <c r="I73" s="7">
        <f>VLOOKUP(E73,DISTANCE!$1:$1048576,5,0)</f>
        <v>23.05</v>
      </c>
    </row>
    <row r="74" spans="1:9" x14ac:dyDescent="0.25">
      <c r="A74" t="s">
        <v>135</v>
      </c>
      <c r="B74" s="8">
        <v>74</v>
      </c>
      <c r="C74" s="7" t="s">
        <v>740</v>
      </c>
      <c r="D74" s="7" t="s">
        <v>394</v>
      </c>
      <c r="E74" s="6" t="str">
        <f>VLOOKUP(A74,COV!$1:$1048576,2,0)</f>
        <v>RJ14GU7078</v>
      </c>
      <c r="F74" s="17">
        <f>VLOOKUP(E74,DISTANCE!$1:$1048576,2,0)</f>
        <v>0.29722222222222222</v>
      </c>
      <c r="G74" s="17">
        <f>VLOOKUP(E74,DISTANCE!$1:$1048576,3,0)</f>
        <v>0.48888888888888887</v>
      </c>
      <c r="H74" s="18">
        <f>VLOOKUP(E74,DISTANCE!$1:$1048576,4,0)</f>
        <v>0.19137731481481482</v>
      </c>
      <c r="I74" s="7">
        <f>VLOOKUP(E74,DISTANCE!$1:$1048576,5,0)</f>
        <v>51.94</v>
      </c>
    </row>
    <row r="75" spans="1:9" x14ac:dyDescent="0.25">
      <c r="A75" t="s">
        <v>132</v>
      </c>
      <c r="B75" s="8">
        <v>75</v>
      </c>
      <c r="C75" s="7" t="s">
        <v>740</v>
      </c>
      <c r="D75" s="7" t="s">
        <v>394</v>
      </c>
      <c r="E75" s="6" t="str">
        <f>VLOOKUP(A75,COV!$1:$1048576,2,0)</f>
        <v>RJ14GU7091</v>
      </c>
      <c r="F75" s="17">
        <f>VLOOKUP(E75,DISTANCE!$1:$1048576,2,0)</f>
        <v>0.26666666666666666</v>
      </c>
      <c r="G75" s="17">
        <f>VLOOKUP(E75,DISTANCE!$1:$1048576,3,0)</f>
        <v>0.66319444444444442</v>
      </c>
      <c r="H75" s="18">
        <f>VLOOKUP(E75,DISTANCE!$1:$1048576,4,0)</f>
        <v>0.39693287037037039</v>
      </c>
      <c r="I75" s="7">
        <f>VLOOKUP(E75,DISTANCE!$1:$1048576,5,0)</f>
        <v>41.91</v>
      </c>
    </row>
    <row r="76" spans="1:9" x14ac:dyDescent="0.25">
      <c r="A76" t="s">
        <v>131</v>
      </c>
      <c r="B76" s="8">
        <v>76</v>
      </c>
      <c r="C76" s="7" t="s">
        <v>740</v>
      </c>
      <c r="D76" s="7" t="s">
        <v>394</v>
      </c>
      <c r="E76" s="6" t="str">
        <f>VLOOKUP(A76,COV!$1:$1048576,2,0)</f>
        <v>RJ14GU7082</v>
      </c>
      <c r="F76" s="17">
        <f>VLOOKUP(E76,DISTANCE!$1:$1048576,2,0)</f>
        <v>0.27152777777777776</v>
      </c>
      <c r="G76" s="17">
        <f>VLOOKUP(E76,DISTANCE!$1:$1048576,3,0)</f>
        <v>0.64513888888888893</v>
      </c>
      <c r="H76" s="18">
        <f>VLOOKUP(E76,DISTANCE!$1:$1048576,4,0)</f>
        <v>0.37385416666666665</v>
      </c>
      <c r="I76" s="7">
        <f>VLOOKUP(E76,DISTANCE!$1:$1048576,5,0)</f>
        <v>30.89</v>
      </c>
    </row>
    <row r="77" spans="1:9" x14ac:dyDescent="0.25">
      <c r="A77" t="s">
        <v>130</v>
      </c>
      <c r="B77" s="8">
        <v>77</v>
      </c>
      <c r="C77" s="7" t="s">
        <v>740</v>
      </c>
      <c r="D77" s="7" t="s">
        <v>394</v>
      </c>
      <c r="E77" s="6" t="str">
        <f>VLOOKUP(A77,COV!$1:$1048576,2,0)</f>
        <v>RJ14GU7081</v>
      </c>
      <c r="F77" s="17">
        <f>VLOOKUP(E77,DISTANCE!$1:$1048576,2,0)</f>
        <v>0.25138888888888888</v>
      </c>
      <c r="G77" s="17">
        <f>VLOOKUP(E77,DISTANCE!$1:$1048576,3,0)</f>
        <v>0.51666666666666672</v>
      </c>
      <c r="H77" s="18">
        <f>VLOOKUP(E77,DISTANCE!$1:$1048576,4,0)</f>
        <v>0.26530092592592591</v>
      </c>
      <c r="I77" s="7">
        <f>VLOOKUP(E77,DISTANCE!$1:$1048576,5,0)</f>
        <v>33.43</v>
      </c>
    </row>
    <row r="78" spans="1:9" x14ac:dyDescent="0.25">
      <c r="A78" t="s">
        <v>129</v>
      </c>
      <c r="B78" s="8">
        <v>78</v>
      </c>
      <c r="C78" s="7" t="s">
        <v>740</v>
      </c>
      <c r="D78" s="7" t="s">
        <v>394</v>
      </c>
      <c r="E78" s="6" t="str">
        <f>VLOOKUP(A78,COV!$1:$1048576,2,0)</f>
        <v>RJ14GU7084</v>
      </c>
      <c r="F78" s="17" t="e">
        <f>VLOOKUP(E78,DISTANCE!$1:$1048576,2,0)</f>
        <v>#N/A</v>
      </c>
      <c r="G78" s="17" t="e">
        <f>VLOOKUP(E78,DISTANCE!$1:$1048576,3,0)</f>
        <v>#N/A</v>
      </c>
      <c r="H78" s="18" t="e">
        <f>VLOOKUP(E78,DISTANCE!$1:$1048576,4,0)</f>
        <v>#N/A</v>
      </c>
      <c r="I78" s="7" t="e">
        <f>VLOOKUP(E78,DISTANCE!$1:$1048576,5,0)</f>
        <v>#N/A</v>
      </c>
    </row>
    <row r="79" spans="1:9" x14ac:dyDescent="0.25">
      <c r="A79" t="s">
        <v>128</v>
      </c>
      <c r="B79" s="8">
        <v>79</v>
      </c>
      <c r="C79" s="7" t="s">
        <v>740</v>
      </c>
      <c r="D79" s="7" t="s">
        <v>394</v>
      </c>
      <c r="E79" s="6" t="str">
        <f>VLOOKUP(A79,COV!$1:$1048576,2,0)</f>
        <v>RJ14GU7079</v>
      </c>
      <c r="F79" s="17">
        <f>VLOOKUP(E79,DISTANCE!$1:$1048576,2,0)</f>
        <v>0.23958333333333334</v>
      </c>
      <c r="G79" s="17">
        <f>VLOOKUP(E79,DISTANCE!$1:$1048576,3,0)</f>
        <v>0.51111111111111107</v>
      </c>
      <c r="H79" s="18">
        <f>VLOOKUP(E79,DISTANCE!$1:$1048576,4,0)</f>
        <v>0.27108796296296295</v>
      </c>
      <c r="I79" s="7">
        <f>VLOOKUP(E79,DISTANCE!$1:$1048576,5,0)</f>
        <v>47.04</v>
      </c>
    </row>
    <row r="80" spans="1:9" x14ac:dyDescent="0.25">
      <c r="A80" t="s">
        <v>126</v>
      </c>
      <c r="B80" s="8">
        <v>80</v>
      </c>
      <c r="C80" s="7" t="s">
        <v>740</v>
      </c>
      <c r="D80" s="7" t="s">
        <v>394</v>
      </c>
      <c r="E80" s="6" t="str">
        <f>VLOOKUP(A80,COV!$1:$1048576,2,0)</f>
        <v>RJ14GU7080</v>
      </c>
      <c r="F80" s="17">
        <f>VLOOKUP(E80,DISTANCE!$1:$1048576,2,0)</f>
        <v>0.28055555555555556</v>
      </c>
      <c r="G80" s="17">
        <f>VLOOKUP(E80,DISTANCE!$1:$1048576,3,0)</f>
        <v>0.35486111111111113</v>
      </c>
      <c r="H80" s="18">
        <f>VLOOKUP(E80,DISTANCE!$1:$1048576,4,0)</f>
        <v>7.4837962962962967E-2</v>
      </c>
      <c r="I80" s="7">
        <f>VLOOKUP(E80,DISTANCE!$1:$1048576,5,0)</f>
        <v>6.01</v>
      </c>
    </row>
    <row r="81" spans="1:9" x14ac:dyDescent="0.25">
      <c r="A81" t="s">
        <v>122</v>
      </c>
      <c r="B81" s="8">
        <v>81</v>
      </c>
      <c r="C81" s="7" t="s">
        <v>740</v>
      </c>
      <c r="D81" s="7" t="s">
        <v>394</v>
      </c>
      <c r="E81" s="6" t="str">
        <f>VLOOKUP(A81,COV!$1:$1048576,2,0)</f>
        <v>RJ14GU7083</v>
      </c>
      <c r="F81" s="17">
        <f>VLOOKUP(E81,DISTANCE!$1:$1048576,2,0)</f>
        <v>0.29583333333333334</v>
      </c>
      <c r="G81" s="17">
        <f>VLOOKUP(E81,DISTANCE!$1:$1048576,3,0)</f>
        <v>0.46458333333333335</v>
      </c>
      <c r="H81" s="18">
        <f>VLOOKUP(E81,DISTANCE!$1:$1048576,4,0)</f>
        <v>0.16864583333333333</v>
      </c>
      <c r="I81" s="7">
        <f>VLOOKUP(E81,DISTANCE!$1:$1048576,5,0)</f>
        <v>38.58</v>
      </c>
    </row>
    <row r="82" spans="1:9" x14ac:dyDescent="0.25">
      <c r="A82" t="s">
        <v>537</v>
      </c>
      <c r="B82" s="8">
        <v>1</v>
      </c>
      <c r="C82" s="7" t="s">
        <v>741</v>
      </c>
      <c r="D82" s="7" t="s">
        <v>425</v>
      </c>
      <c r="E82" s="6" t="str">
        <f>VLOOKUP(A82,COV!$1:$1048576,2,0)</f>
        <v>RJ14GT8112</v>
      </c>
      <c r="F82" s="17">
        <f>VLOOKUP(E82,DISTANCE!$1:$1048576,2,0)</f>
        <v>0.23958333333333334</v>
      </c>
      <c r="G82" s="17">
        <f>VLOOKUP(E82,DISTANCE!$1:$1048576,3,0)</f>
        <v>0.42638888888888887</v>
      </c>
      <c r="H82" s="18">
        <f>VLOOKUP(E82,DISTANCE!$1:$1048576,4,0)</f>
        <v>0.1867824074074074</v>
      </c>
      <c r="I82" s="7">
        <f>VLOOKUP(E82,DISTANCE!$1:$1048576,5,0)</f>
        <v>40.590000000000003</v>
      </c>
    </row>
    <row r="83" spans="1:9" x14ac:dyDescent="0.25">
      <c r="A83" t="s">
        <v>469</v>
      </c>
      <c r="B83" s="8">
        <v>2</v>
      </c>
      <c r="C83" s="7" t="s">
        <v>741</v>
      </c>
      <c r="D83" s="7" t="s">
        <v>425</v>
      </c>
      <c r="E83" s="6" t="str">
        <f>VLOOKUP(A83,COV!$1:$1048576,2,0)</f>
        <v>RJ14GT8126</v>
      </c>
      <c r="F83" s="17">
        <f>VLOOKUP(E83,DISTANCE!$1:$1048576,2,0)</f>
        <v>0.26319444444444445</v>
      </c>
      <c r="G83" s="17">
        <f>VLOOKUP(E83,DISTANCE!$1:$1048576,3,0)</f>
        <v>0.48125000000000001</v>
      </c>
      <c r="H83" s="18">
        <f>VLOOKUP(E83,DISTANCE!$1:$1048576,4,0)</f>
        <v>0.2182523148148148</v>
      </c>
      <c r="I83" s="7">
        <f>VLOOKUP(E83,DISTANCE!$1:$1048576,5,0)</f>
        <v>28.09</v>
      </c>
    </row>
    <row r="84" spans="1:9" x14ac:dyDescent="0.25">
      <c r="A84" t="s">
        <v>470</v>
      </c>
      <c r="B84" s="8">
        <v>3</v>
      </c>
      <c r="C84" s="7" t="s">
        <v>741</v>
      </c>
      <c r="D84" s="7" t="s">
        <v>425</v>
      </c>
      <c r="E84" s="6" t="str">
        <f>VLOOKUP(A84,COV!$1:$1048576,2,0)</f>
        <v>RJ14GT8106</v>
      </c>
      <c r="F84" s="17">
        <f>VLOOKUP(E84,DISTANCE!$1:$1048576,2,0)</f>
        <v>0.1423611111111111</v>
      </c>
      <c r="G84" s="17">
        <f>VLOOKUP(E84,DISTANCE!$1:$1048576,3,0)</f>
        <v>0.46111111111111114</v>
      </c>
      <c r="H84" s="18">
        <f>VLOOKUP(E84,DISTANCE!$1:$1048576,4,0)</f>
        <v>0.31877314814814817</v>
      </c>
      <c r="I84" s="7">
        <f>VLOOKUP(E84,DISTANCE!$1:$1048576,5,0)</f>
        <v>22.17</v>
      </c>
    </row>
    <row r="85" spans="1:9" x14ac:dyDescent="0.25">
      <c r="A85" t="s">
        <v>472</v>
      </c>
      <c r="B85" s="8">
        <v>4</v>
      </c>
      <c r="C85" s="7" t="s">
        <v>741</v>
      </c>
      <c r="D85" s="7" t="s">
        <v>426</v>
      </c>
      <c r="E85" s="6" t="str">
        <f>VLOOKUP(A85,COV!$1:$1048576,2,0)</f>
        <v>SVC09122</v>
      </c>
      <c r="F85" s="17">
        <f>VLOOKUP(E85,DISTANCE!$1:$1048576,2,0)</f>
        <v>0.25833333333333336</v>
      </c>
      <c r="G85" s="17">
        <f>VLOOKUP(E85,DISTANCE!$1:$1048576,3,0)</f>
        <v>0.64722222222222225</v>
      </c>
      <c r="H85" s="18">
        <f>VLOOKUP(E85,DISTANCE!$1:$1048576,4,0)</f>
        <v>0.38824074074074072</v>
      </c>
      <c r="I85" s="7">
        <f>VLOOKUP(E85,DISTANCE!$1:$1048576,5,0)</f>
        <v>39.94</v>
      </c>
    </row>
    <row r="86" spans="1:9" x14ac:dyDescent="0.25">
      <c r="A86" t="s">
        <v>471</v>
      </c>
      <c r="B86" s="8">
        <v>5</v>
      </c>
      <c r="C86" s="7" t="s">
        <v>741</v>
      </c>
      <c r="D86" s="7" t="s">
        <v>426</v>
      </c>
      <c r="E86" s="6" t="str">
        <f>VLOOKUP(A86,COV!$1:$1048576,2,0)</f>
        <v>RJ14GT8105</v>
      </c>
      <c r="F86" s="17">
        <f>VLOOKUP(E86,DISTANCE!$1:$1048576,2,0)</f>
        <v>0.28680555555555554</v>
      </c>
      <c r="G86" s="17">
        <f>VLOOKUP(E86,DISTANCE!$1:$1048576,3,0)</f>
        <v>0.6118055555555556</v>
      </c>
      <c r="H86" s="18">
        <f>VLOOKUP(E86,DISTANCE!$1:$1048576,4,0)</f>
        <v>0.32553240740740741</v>
      </c>
      <c r="I86" s="7">
        <f>VLOOKUP(E86,DISTANCE!$1:$1048576,5,0)</f>
        <v>26.11</v>
      </c>
    </row>
    <row r="87" spans="1:9" x14ac:dyDescent="0.25">
      <c r="A87" t="s">
        <v>474</v>
      </c>
      <c r="B87" s="8">
        <v>6</v>
      </c>
      <c r="C87" s="7" t="s">
        <v>741</v>
      </c>
      <c r="D87" s="7" t="s">
        <v>427</v>
      </c>
      <c r="E87" s="6" t="str">
        <f>VLOOKUP(A87,COV!$1:$1048576,2,0)</f>
        <v>RJ14GT8110</v>
      </c>
      <c r="F87" s="17">
        <f>VLOOKUP(E87,DISTANCE!$1:$1048576,2,0)</f>
        <v>0.25277777777777777</v>
      </c>
      <c r="G87" s="17">
        <f>VLOOKUP(E87,DISTANCE!$1:$1048576,3,0)</f>
        <v>0.47499999999999998</v>
      </c>
      <c r="H87" s="18">
        <f>VLOOKUP(E87,DISTANCE!$1:$1048576,4,0)</f>
        <v>0.22211805555555555</v>
      </c>
      <c r="I87" s="7">
        <f>VLOOKUP(E87,DISTANCE!$1:$1048576,5,0)</f>
        <v>13.08</v>
      </c>
    </row>
    <row r="88" spans="1:9" x14ac:dyDescent="0.25">
      <c r="A88" t="s">
        <v>475</v>
      </c>
      <c r="B88" s="8">
        <v>7</v>
      </c>
      <c r="C88" s="7" t="s">
        <v>741</v>
      </c>
      <c r="D88" s="7" t="s">
        <v>427</v>
      </c>
      <c r="E88" s="6" t="str">
        <f>VLOOKUP(A88,COV!$1:$1048576,2,0)</f>
        <v>RJ14GT7552</v>
      </c>
      <c r="F88" s="17">
        <f>VLOOKUP(E88,DISTANCE!$1:$1048576,2,0)</f>
        <v>0.28055555555555556</v>
      </c>
      <c r="G88" s="17">
        <f>VLOOKUP(E88,DISTANCE!$1:$1048576,3,0)</f>
        <v>0.49861111111111112</v>
      </c>
      <c r="H88" s="18">
        <f>VLOOKUP(E88,DISTANCE!$1:$1048576,4,0)</f>
        <v>0.2182523148148148</v>
      </c>
      <c r="I88" s="7">
        <f>VLOOKUP(E88,DISTANCE!$1:$1048576,5,0)</f>
        <v>15.88</v>
      </c>
    </row>
    <row r="89" spans="1:9" x14ac:dyDescent="0.25">
      <c r="A89" t="s">
        <v>473</v>
      </c>
      <c r="B89" s="8">
        <v>8</v>
      </c>
      <c r="C89" s="7" t="s">
        <v>741</v>
      </c>
      <c r="D89" s="7" t="s">
        <v>427</v>
      </c>
      <c r="E89" s="6" t="str">
        <f>VLOOKUP(A89,COV!$1:$1048576,2,0)</f>
        <v>RJ14GT9036</v>
      </c>
      <c r="F89" s="17">
        <f>VLOOKUP(E89,DISTANCE!$1:$1048576,2,0)</f>
        <v>0.27291666666666664</v>
      </c>
      <c r="G89" s="17">
        <f>VLOOKUP(E89,DISTANCE!$1:$1048576,3,0)</f>
        <v>0.6333333333333333</v>
      </c>
      <c r="H89" s="18">
        <f>VLOOKUP(E89,DISTANCE!$1:$1048576,4,0)</f>
        <v>0.36039351851851853</v>
      </c>
      <c r="I89" s="7">
        <f>VLOOKUP(E89,DISTANCE!$1:$1048576,5,0)</f>
        <v>13.11</v>
      </c>
    </row>
    <row r="90" spans="1:9" x14ac:dyDescent="0.25">
      <c r="A90" t="s">
        <v>477</v>
      </c>
      <c r="B90" s="8">
        <v>9</v>
      </c>
      <c r="C90" s="7" t="s">
        <v>741</v>
      </c>
      <c r="D90" s="7" t="s">
        <v>428</v>
      </c>
      <c r="E90" s="6" t="str">
        <f>VLOOKUP(A90,COV!$1:$1048576,2,0)</f>
        <v>RJ14GT7541</v>
      </c>
      <c r="F90" s="17">
        <f>VLOOKUP(E90,DISTANCE!$1:$1048576,2,0)</f>
        <v>0.27152777777777776</v>
      </c>
      <c r="G90" s="17">
        <f>VLOOKUP(E90,DISTANCE!$1:$1048576,3,0)</f>
        <v>0.56041666666666667</v>
      </c>
      <c r="H90" s="18">
        <f>VLOOKUP(E90,DISTANCE!$1:$1048576,4,0)</f>
        <v>0.28885416666666669</v>
      </c>
      <c r="I90" s="7">
        <f>VLOOKUP(E90,DISTANCE!$1:$1048576,5,0)</f>
        <v>24.81</v>
      </c>
    </row>
    <row r="91" spans="1:9" x14ac:dyDescent="0.25">
      <c r="A91" t="s">
        <v>478</v>
      </c>
      <c r="B91" s="8">
        <v>10</v>
      </c>
      <c r="C91" s="7" t="s">
        <v>741</v>
      </c>
      <c r="D91" s="7" t="s">
        <v>428</v>
      </c>
      <c r="E91" s="6" t="str">
        <f>VLOOKUP(A91,COV!$1:$1048576,2,0)</f>
        <v>RJ14GT8132</v>
      </c>
      <c r="F91" s="17">
        <f>VLOOKUP(E91,DISTANCE!$1:$1048576,2,0)</f>
        <v>0.18263888888888888</v>
      </c>
      <c r="G91" s="17">
        <f>VLOOKUP(E91,DISTANCE!$1:$1048576,3,0)</f>
        <v>0.6479166666666667</v>
      </c>
      <c r="H91" s="18">
        <f>VLOOKUP(E91,DISTANCE!$1:$1048576,4,0)</f>
        <v>0.46537037037037038</v>
      </c>
      <c r="I91" s="7">
        <f>VLOOKUP(E91,DISTANCE!$1:$1048576,5,0)</f>
        <v>46.25</v>
      </c>
    </row>
    <row r="92" spans="1:9" x14ac:dyDescent="0.25">
      <c r="A92" t="s">
        <v>476</v>
      </c>
      <c r="B92" s="8">
        <v>11</v>
      </c>
      <c r="C92" s="7" t="s">
        <v>741</v>
      </c>
      <c r="D92" s="7" t="s">
        <v>428</v>
      </c>
      <c r="E92" s="6" t="str">
        <f>VLOOKUP(A92,COV!$1:$1048576,2,0)</f>
        <v>RJ14GT8386</v>
      </c>
      <c r="F92" s="17">
        <f>VLOOKUP(E92,DISTANCE!$1:$1048576,2,0)</f>
        <v>0.26111111111111113</v>
      </c>
      <c r="G92" s="17">
        <f>VLOOKUP(E92,DISTANCE!$1:$1048576,3,0)</f>
        <v>0.56597222222222221</v>
      </c>
      <c r="H92" s="18">
        <f>VLOOKUP(E92,DISTANCE!$1:$1048576,4,0)</f>
        <v>0.30509259259259258</v>
      </c>
      <c r="I92" s="7">
        <f>VLOOKUP(E92,DISTANCE!$1:$1048576,5,0)</f>
        <v>21.2</v>
      </c>
    </row>
    <row r="93" spans="1:9" x14ac:dyDescent="0.25">
      <c r="A93" t="s">
        <v>479</v>
      </c>
      <c r="B93" s="8">
        <v>12</v>
      </c>
      <c r="C93" s="7" t="s">
        <v>741</v>
      </c>
      <c r="D93" s="7" t="s">
        <v>429</v>
      </c>
      <c r="E93" s="6" t="str">
        <f>VLOOKUP(A93,COV!$1:$1048576,2,0)</f>
        <v>RJ14GT8826</v>
      </c>
      <c r="F93" s="17">
        <f>VLOOKUP(E93,DISTANCE!$1:$1048576,2,0)</f>
        <v>0.26597222222222222</v>
      </c>
      <c r="G93" s="17">
        <f>VLOOKUP(E93,DISTANCE!$1:$1048576,3,0)</f>
        <v>0.47499999999999998</v>
      </c>
      <c r="H93" s="18">
        <f>VLOOKUP(E93,DISTANCE!$1:$1048576,4,0)</f>
        <v>0.20924768518518519</v>
      </c>
      <c r="I93" s="7">
        <f>VLOOKUP(E93,DISTANCE!$1:$1048576,5,0)</f>
        <v>11.64</v>
      </c>
    </row>
    <row r="94" spans="1:9" x14ac:dyDescent="0.25">
      <c r="A94" t="s">
        <v>480</v>
      </c>
      <c r="B94" s="8">
        <v>13</v>
      </c>
      <c r="C94" s="7" t="s">
        <v>741</v>
      </c>
      <c r="D94" s="7" t="s">
        <v>429</v>
      </c>
      <c r="E94" s="6" t="str">
        <f>VLOOKUP(A94,COV!$1:$1048576,2,0)</f>
        <v>SVD11746</v>
      </c>
      <c r="F94" s="17">
        <f>VLOOKUP(E94,DISTANCE!$1:$1048576,2,0)</f>
        <v>0.21805555555555556</v>
      </c>
      <c r="G94" s="17">
        <f>VLOOKUP(E94,DISTANCE!$1:$1048576,3,0)</f>
        <v>0.62916666666666665</v>
      </c>
      <c r="H94" s="18">
        <f>VLOOKUP(E94,DISTANCE!$1:$1048576,4,0)</f>
        <v>0.41082175925925923</v>
      </c>
      <c r="I94" s="7">
        <f>VLOOKUP(E94,DISTANCE!$1:$1048576,5,0)</f>
        <v>77.97</v>
      </c>
    </row>
    <row r="95" spans="1:9" x14ac:dyDescent="0.25">
      <c r="A95" t="s">
        <v>482</v>
      </c>
      <c r="B95" s="8">
        <v>14</v>
      </c>
      <c r="C95" s="7" t="s">
        <v>741</v>
      </c>
      <c r="D95" s="7" t="s">
        <v>430</v>
      </c>
      <c r="E95" s="6" t="str">
        <f>VLOOKUP(A95,COV!$1:$1048576,2,0)</f>
        <v>RJ14GT7564SP</v>
      </c>
      <c r="F95" s="17">
        <f>VLOOKUP(E95,DISTANCE!$1:$1048576,2,0)</f>
        <v>0.28541666666666665</v>
      </c>
      <c r="G95" s="17">
        <f>VLOOKUP(E95,DISTANCE!$1:$1048576,3,0)</f>
        <v>0.63124999999999998</v>
      </c>
      <c r="H95" s="18">
        <f>VLOOKUP(E95,DISTANCE!$1:$1048576,4,0)</f>
        <v>0.34597222222222224</v>
      </c>
      <c r="I95" s="7">
        <f>VLOOKUP(E95,DISTANCE!$1:$1048576,5,0)</f>
        <v>45.37</v>
      </c>
    </row>
    <row r="96" spans="1:9" x14ac:dyDescent="0.25">
      <c r="A96" t="s">
        <v>481</v>
      </c>
      <c r="B96" s="8">
        <v>15</v>
      </c>
      <c r="C96" s="7" t="s">
        <v>741</v>
      </c>
      <c r="D96" s="7" t="s">
        <v>430</v>
      </c>
      <c r="E96" s="6" t="str">
        <f>VLOOKUP(A96,COV!$1:$1048576,2,0)</f>
        <v>RJ14GT8137</v>
      </c>
      <c r="F96" s="17">
        <f>VLOOKUP(E96,DISTANCE!$1:$1048576,2,0)</f>
        <v>0.24513888888888888</v>
      </c>
      <c r="G96" s="17">
        <f>VLOOKUP(E96,DISTANCE!$1:$1048576,3,0)</f>
        <v>0.66249999999999998</v>
      </c>
      <c r="H96" s="18">
        <f>VLOOKUP(E96,DISTANCE!$1:$1048576,4,0)</f>
        <v>0.41765046296296299</v>
      </c>
      <c r="I96" s="7">
        <f>VLOOKUP(E96,DISTANCE!$1:$1048576,5,0)</f>
        <v>46.18</v>
      </c>
    </row>
    <row r="97" spans="1:9" x14ac:dyDescent="0.25">
      <c r="A97" t="s">
        <v>483</v>
      </c>
      <c r="B97" s="8">
        <v>16</v>
      </c>
      <c r="C97" s="7" t="s">
        <v>741</v>
      </c>
      <c r="D97" s="7" t="s">
        <v>430</v>
      </c>
      <c r="E97" s="6" t="str">
        <f>VLOOKUP(A97,COV!$1:$1048576,2,0)</f>
        <v>RJ14GT8122</v>
      </c>
      <c r="F97" s="17">
        <f>VLOOKUP(E97,DISTANCE!$1:$1048576,2,0)</f>
        <v>0.24374999999999999</v>
      </c>
      <c r="G97" s="17">
        <f>VLOOKUP(E97,DISTANCE!$1:$1048576,3,0)</f>
        <v>0.64722222222222225</v>
      </c>
      <c r="H97" s="18">
        <f>VLOOKUP(E97,DISTANCE!$1:$1048576,4,0)</f>
        <v>0.40349537037037037</v>
      </c>
      <c r="I97" s="7">
        <f>VLOOKUP(E97,DISTANCE!$1:$1048576,5,0)</f>
        <v>51.64</v>
      </c>
    </row>
    <row r="98" spans="1:9" x14ac:dyDescent="0.25">
      <c r="A98" t="s">
        <v>485</v>
      </c>
      <c r="B98" s="8">
        <v>17</v>
      </c>
      <c r="C98" s="7" t="s">
        <v>741</v>
      </c>
      <c r="D98" s="7" t="s">
        <v>431</v>
      </c>
      <c r="E98" s="6" t="str">
        <f>VLOOKUP(A98,COV!$1:$1048576,2,0)</f>
        <v>RJ14GT8118</v>
      </c>
      <c r="F98" s="17">
        <f>VLOOKUP(E98,DISTANCE!$1:$1048576,2,0)</f>
        <v>0.2902777777777778</v>
      </c>
      <c r="G98" s="17">
        <f>VLOOKUP(E98,DISTANCE!$1:$1048576,3,0)</f>
        <v>0.66249999999999998</v>
      </c>
      <c r="H98" s="18">
        <f>VLOOKUP(E98,DISTANCE!$1:$1048576,4,0)</f>
        <v>0.37193287037037037</v>
      </c>
      <c r="I98" s="7">
        <f>VLOOKUP(E98,DISTANCE!$1:$1048576,5,0)</f>
        <v>37.549999999999997</v>
      </c>
    </row>
    <row r="99" spans="1:9" x14ac:dyDescent="0.25">
      <c r="A99" t="s">
        <v>486</v>
      </c>
      <c r="B99" s="8">
        <v>18</v>
      </c>
      <c r="C99" s="7" t="s">
        <v>741</v>
      </c>
      <c r="D99" s="7" t="s">
        <v>431</v>
      </c>
      <c r="E99" s="6" t="str">
        <f>VLOOKUP(A99,COV!$1:$1048576,2,0)</f>
        <v>RJ14GT8130</v>
      </c>
      <c r="F99" s="17">
        <f>VLOOKUP(E99,DISTANCE!$1:$1048576,2,0)</f>
        <v>0.30555555555555558</v>
      </c>
      <c r="G99" s="17">
        <f>VLOOKUP(E99,DISTANCE!$1:$1048576,3,0)</f>
        <v>0.50624999999999998</v>
      </c>
      <c r="H99" s="18">
        <f>VLOOKUP(E99,DISTANCE!$1:$1048576,4,0)</f>
        <v>0.20072916666666665</v>
      </c>
      <c r="I99" s="7">
        <f>VLOOKUP(E99,DISTANCE!$1:$1048576,5,0)</f>
        <v>32.659999999999997</v>
      </c>
    </row>
    <row r="100" spans="1:9" x14ac:dyDescent="0.25">
      <c r="A100" t="s">
        <v>484</v>
      </c>
      <c r="B100" s="8">
        <v>19</v>
      </c>
      <c r="C100" s="7" t="s">
        <v>741</v>
      </c>
      <c r="D100" s="7" t="s">
        <v>431</v>
      </c>
      <c r="E100" s="6" t="str">
        <f>VLOOKUP(A100,COV!$1:$1048576,2,0)</f>
        <v>RJ14GT9028</v>
      </c>
      <c r="F100" s="17">
        <f>VLOOKUP(E100,DISTANCE!$1:$1048576,2,0)</f>
        <v>0.28749999999999998</v>
      </c>
      <c r="G100" s="17">
        <f>VLOOKUP(E100,DISTANCE!$1:$1048576,3,0)</f>
        <v>0.66041666666666665</v>
      </c>
      <c r="H100" s="18">
        <f>VLOOKUP(E100,DISTANCE!$1:$1048576,4,0)</f>
        <v>0.37265046296296295</v>
      </c>
      <c r="I100" s="7">
        <f>VLOOKUP(E100,DISTANCE!$1:$1048576,5,0)</f>
        <v>20.96</v>
      </c>
    </row>
    <row r="101" spans="1:9" x14ac:dyDescent="0.25">
      <c r="A101" t="s">
        <v>487</v>
      </c>
      <c r="B101" s="8">
        <v>20</v>
      </c>
      <c r="C101" s="7" t="s">
        <v>741</v>
      </c>
      <c r="D101" s="7" t="s">
        <v>432</v>
      </c>
      <c r="E101" s="6" t="str">
        <f>VLOOKUP(A101,COV!$1:$1048576,2,0)</f>
        <v>RJ14GT8933</v>
      </c>
      <c r="F101" s="17">
        <f>VLOOKUP(E101,DISTANCE!$1:$1048576,2,0)</f>
        <v>0.24652777777777779</v>
      </c>
      <c r="G101" s="17">
        <f>VLOOKUP(E101,DISTANCE!$1:$1048576,3,0)</f>
        <v>0.6333333333333333</v>
      </c>
      <c r="H101" s="18">
        <f>VLOOKUP(E101,DISTANCE!$1:$1048576,4,0)</f>
        <v>0.38702546296296297</v>
      </c>
      <c r="I101" s="7">
        <f>VLOOKUP(E101,DISTANCE!$1:$1048576,5,0)</f>
        <v>59.94</v>
      </c>
    </row>
    <row r="102" spans="1:9" x14ac:dyDescent="0.25">
      <c r="A102" t="s">
        <v>489</v>
      </c>
      <c r="B102" s="8">
        <v>21</v>
      </c>
      <c r="C102" s="7" t="s">
        <v>741</v>
      </c>
      <c r="D102" s="7" t="s">
        <v>432</v>
      </c>
      <c r="E102" s="6" t="str">
        <f>VLOOKUP(A102,COV!$1:$1048576,2,0)</f>
        <v>SVF19725</v>
      </c>
      <c r="F102" s="17">
        <f>VLOOKUP(E102,DISTANCE!$1:$1048576,2,0)</f>
        <v>0.27916666666666667</v>
      </c>
      <c r="G102" s="17">
        <f>VLOOKUP(E102,DISTANCE!$1:$1048576,3,0)</f>
        <v>0.58472222222222225</v>
      </c>
      <c r="H102" s="18">
        <f>VLOOKUP(E102,DISTANCE!$1:$1048576,4,0)</f>
        <v>0.30574074074074076</v>
      </c>
      <c r="I102" s="7">
        <f>VLOOKUP(E102,DISTANCE!$1:$1048576,5,0)</f>
        <v>49.64</v>
      </c>
    </row>
    <row r="103" spans="1:9" x14ac:dyDescent="0.25">
      <c r="A103" t="s">
        <v>488</v>
      </c>
      <c r="B103" s="8">
        <v>22</v>
      </c>
      <c r="C103" s="7" t="s">
        <v>741</v>
      </c>
      <c r="D103" s="7" t="s">
        <v>432</v>
      </c>
      <c r="E103" s="6" t="str">
        <f>VLOOKUP(A103,COV!$1:$1048576,2,0)</f>
        <v>RJ14GT8252</v>
      </c>
      <c r="F103" s="17">
        <f>VLOOKUP(E103,DISTANCE!$1:$1048576,2,0)</f>
        <v>0.30625000000000002</v>
      </c>
      <c r="G103" s="17">
        <f>VLOOKUP(E103,DISTANCE!$1:$1048576,3,0)</f>
        <v>0.56319444444444444</v>
      </c>
      <c r="H103" s="18">
        <f>VLOOKUP(E103,DISTANCE!$1:$1048576,4,0)</f>
        <v>0.2570486111111111</v>
      </c>
      <c r="I103" s="7">
        <f>VLOOKUP(E103,DISTANCE!$1:$1048576,5,0)</f>
        <v>43.77</v>
      </c>
    </row>
    <row r="104" spans="1:9" x14ac:dyDescent="0.25">
      <c r="A104" t="s">
        <v>490</v>
      </c>
      <c r="B104" s="8">
        <v>23</v>
      </c>
      <c r="C104" s="7" t="s">
        <v>741</v>
      </c>
      <c r="D104" s="7" t="s">
        <v>433</v>
      </c>
      <c r="E104" s="6" t="str">
        <f>VLOOKUP(A104,COV!$1:$1048576,2,0)</f>
        <v>RJ14GT8262</v>
      </c>
      <c r="F104" s="17">
        <f>VLOOKUP(E104,DISTANCE!$1:$1048576,2,0)</f>
        <v>0.28888888888888886</v>
      </c>
      <c r="G104" s="17">
        <f>VLOOKUP(E104,DISTANCE!$1:$1048576,3,0)</f>
        <v>0.56458333333333333</v>
      </c>
      <c r="H104" s="18">
        <f>VLOOKUP(E104,DISTANCE!$1:$1048576,4,0)</f>
        <v>0.2761689814814815</v>
      </c>
      <c r="I104" s="7">
        <f>VLOOKUP(E104,DISTANCE!$1:$1048576,5,0)</f>
        <v>27.89</v>
      </c>
    </row>
    <row r="105" spans="1:9" x14ac:dyDescent="0.25">
      <c r="A105" t="s">
        <v>491</v>
      </c>
      <c r="B105" s="8">
        <v>24</v>
      </c>
      <c r="C105" s="7" t="s">
        <v>741</v>
      </c>
      <c r="D105" s="7" t="s">
        <v>433</v>
      </c>
      <c r="E105" s="6" t="str">
        <f>VLOOKUP(A105,COV!$1:$1048576,2,0)</f>
        <v>SVD11148</v>
      </c>
      <c r="F105" s="17">
        <f>VLOOKUP(E105,DISTANCE!$1:$1048576,2,0)</f>
        <v>0.26458333333333334</v>
      </c>
      <c r="G105" s="17">
        <f>VLOOKUP(E105,DISTANCE!$1:$1048576,3,0)</f>
        <v>0.55972222222222223</v>
      </c>
      <c r="H105" s="18">
        <f>VLOOKUP(E105,DISTANCE!$1:$1048576,4,0)</f>
        <v>0.29520833333333335</v>
      </c>
      <c r="I105" s="7">
        <f>VLOOKUP(E105,DISTANCE!$1:$1048576,5,0)</f>
        <v>38.47</v>
      </c>
    </row>
    <row r="106" spans="1:9" x14ac:dyDescent="0.25">
      <c r="A106" t="s">
        <v>492</v>
      </c>
      <c r="B106" s="8">
        <v>25</v>
      </c>
      <c r="C106" s="7" t="s">
        <v>741</v>
      </c>
      <c r="D106" s="7" t="s">
        <v>433</v>
      </c>
      <c r="E106" s="6" t="str">
        <f>VLOOKUP(A106,COV!$1:$1048576,2,0)</f>
        <v>SZE13376</v>
      </c>
      <c r="F106" s="17">
        <f>VLOOKUP(E106,DISTANCE!$1:$1048576,2,0)</f>
        <v>0.27013888888888887</v>
      </c>
      <c r="G106" s="17">
        <f>VLOOKUP(E106,DISTANCE!$1:$1048576,3,0)</f>
        <v>0.55347222222222225</v>
      </c>
      <c r="H106" s="18">
        <f>VLOOKUP(E106,DISTANCE!$1:$1048576,4,0)</f>
        <v>0.28342592592592591</v>
      </c>
      <c r="I106" s="7">
        <f>VLOOKUP(E106,DISTANCE!$1:$1048576,5,0)</f>
        <v>37.68</v>
      </c>
    </row>
    <row r="107" spans="1:9" x14ac:dyDescent="0.25">
      <c r="A107" t="s">
        <v>493</v>
      </c>
      <c r="B107" s="8">
        <v>26</v>
      </c>
      <c r="C107" s="7" t="s">
        <v>741</v>
      </c>
      <c r="D107" s="7" t="s">
        <v>434</v>
      </c>
      <c r="E107" s="6" t="str">
        <f>VLOOKUP(A107,COV!$1:$1048576,2,0)</f>
        <v>RJ14GT7544</v>
      </c>
      <c r="F107" s="17">
        <f>VLOOKUP(E107,DISTANCE!$1:$1048576,2,0)</f>
        <v>0.25416666666666665</v>
      </c>
      <c r="G107" s="17">
        <f>VLOOKUP(E107,DISTANCE!$1:$1048576,3,0)</f>
        <v>0.64236111111111116</v>
      </c>
      <c r="H107" s="18">
        <f>VLOOKUP(E107,DISTANCE!$1:$1048576,4,0)</f>
        <v>0.38827546296296295</v>
      </c>
      <c r="I107" s="7">
        <f>VLOOKUP(E107,DISTANCE!$1:$1048576,5,0)</f>
        <v>43.26</v>
      </c>
    </row>
    <row r="108" spans="1:9" x14ac:dyDescent="0.25">
      <c r="A108" t="s">
        <v>494</v>
      </c>
      <c r="B108" s="8">
        <v>27</v>
      </c>
      <c r="C108" s="7" t="s">
        <v>741</v>
      </c>
      <c r="D108" s="7" t="s">
        <v>434</v>
      </c>
      <c r="E108" s="6" t="str">
        <f>VLOOKUP(A108,COV!$1:$1048576,2,0)</f>
        <v>RJ14GT8250</v>
      </c>
      <c r="F108" s="17">
        <f>VLOOKUP(E108,DISTANCE!$1:$1048576,2,0)</f>
        <v>0.29305555555555557</v>
      </c>
      <c r="G108" s="17">
        <f>VLOOKUP(E108,DISTANCE!$1:$1048576,3,0)</f>
        <v>0.64027777777777772</v>
      </c>
      <c r="H108" s="18">
        <f>VLOOKUP(E108,DISTANCE!$1:$1048576,4,0)</f>
        <v>0.34684027777777776</v>
      </c>
      <c r="I108" s="7">
        <f>VLOOKUP(E108,DISTANCE!$1:$1048576,5,0)</f>
        <v>57.67</v>
      </c>
    </row>
    <row r="109" spans="1:9" x14ac:dyDescent="0.25">
      <c r="A109" t="s">
        <v>495</v>
      </c>
      <c r="B109" s="8">
        <v>28</v>
      </c>
      <c r="C109" s="7" t="s">
        <v>741</v>
      </c>
      <c r="D109" s="7" t="s">
        <v>434</v>
      </c>
      <c r="E109" s="6" t="str">
        <f>VLOOKUP(A109,COV!$1:$1048576,2,0)</f>
        <v>RJ14GT9046</v>
      </c>
      <c r="F109" s="17">
        <f>VLOOKUP(E109,DISTANCE!$1:$1048576,2,0)</f>
        <v>0.29166666666666669</v>
      </c>
      <c r="G109" s="17">
        <f>VLOOKUP(E109,DISTANCE!$1:$1048576,3,0)</f>
        <v>0.48125000000000001</v>
      </c>
      <c r="H109" s="18">
        <f>VLOOKUP(E109,DISTANCE!$1:$1048576,4,0)</f>
        <v>0.18957175925925926</v>
      </c>
      <c r="I109" s="7">
        <f>VLOOKUP(E109,DISTANCE!$1:$1048576,5,0)</f>
        <v>21.88</v>
      </c>
    </row>
    <row r="110" spans="1:9" x14ac:dyDescent="0.25">
      <c r="A110" t="s">
        <v>496</v>
      </c>
      <c r="B110" s="8">
        <v>29</v>
      </c>
      <c r="C110" s="7" t="s">
        <v>741</v>
      </c>
      <c r="D110" s="7" t="s">
        <v>435</v>
      </c>
      <c r="E110" s="6" t="str">
        <f>VLOOKUP(A110,COV!$1:$1048576,2,0)</f>
        <v>RJ14GT8101</v>
      </c>
      <c r="F110" s="17">
        <f>VLOOKUP(E110,DISTANCE!$1:$1048576,2,0)</f>
        <v>0.34583333333333333</v>
      </c>
      <c r="G110" s="17">
        <f>VLOOKUP(E110,DISTANCE!$1:$1048576,3,0)</f>
        <v>0.57499999999999996</v>
      </c>
      <c r="H110" s="18">
        <f>VLOOKUP(E110,DISTANCE!$1:$1048576,4,0)</f>
        <v>0.22923611111111111</v>
      </c>
      <c r="I110" s="7">
        <f>VLOOKUP(E110,DISTANCE!$1:$1048576,5,0)</f>
        <v>36.75</v>
      </c>
    </row>
    <row r="111" spans="1:9" x14ac:dyDescent="0.25">
      <c r="A111" t="s">
        <v>497</v>
      </c>
      <c r="B111" s="8">
        <v>30</v>
      </c>
      <c r="C111" s="7" t="s">
        <v>741</v>
      </c>
      <c r="D111" s="7" t="s">
        <v>435</v>
      </c>
      <c r="E111" s="6" t="str">
        <f>VLOOKUP(A111,COV!$1:$1048576,2,0)</f>
        <v>RJ14GT8127</v>
      </c>
      <c r="F111" s="17">
        <f>VLOOKUP(E111,DISTANCE!$1:$1048576,2,0)</f>
        <v>0.2590277777777778</v>
      </c>
      <c r="G111" s="17">
        <f>VLOOKUP(E111,DISTANCE!$1:$1048576,3,0)</f>
        <v>0.65902777777777777</v>
      </c>
      <c r="H111" s="18">
        <f>VLOOKUP(E111,DISTANCE!$1:$1048576,4,0)</f>
        <v>0.40021990740740743</v>
      </c>
      <c r="I111" s="7">
        <f>VLOOKUP(E111,DISTANCE!$1:$1048576,5,0)</f>
        <v>52.25</v>
      </c>
    </row>
    <row r="112" spans="1:9" x14ac:dyDescent="0.25">
      <c r="A112" t="s">
        <v>499</v>
      </c>
      <c r="B112" s="8">
        <v>31</v>
      </c>
      <c r="C112" s="7" t="s">
        <v>741</v>
      </c>
      <c r="D112" s="7" t="s">
        <v>436</v>
      </c>
      <c r="E112" s="6" t="str">
        <f>VLOOKUP(A112,COV!$1:$1048576,2,0)</f>
        <v>SVF19531</v>
      </c>
      <c r="F112" s="17">
        <f>VLOOKUP(E112,DISTANCE!$1:$1048576,2,0)</f>
        <v>0.27708333333333335</v>
      </c>
      <c r="G112" s="17">
        <f>VLOOKUP(E112,DISTANCE!$1:$1048576,3,0)</f>
        <v>0.52152777777777781</v>
      </c>
      <c r="H112" s="18">
        <f>VLOOKUP(E112,DISTANCE!$1:$1048576,4,0)</f>
        <v>0.24450231481481483</v>
      </c>
      <c r="I112" s="7">
        <f>VLOOKUP(E112,DISTANCE!$1:$1048576,5,0)</f>
        <v>32.520000000000003</v>
      </c>
    </row>
    <row r="113" spans="1:9" x14ac:dyDescent="0.25">
      <c r="A113" t="s">
        <v>500</v>
      </c>
      <c r="B113" s="8">
        <v>32</v>
      </c>
      <c r="C113" s="7" t="s">
        <v>741</v>
      </c>
      <c r="D113" s="7" t="s">
        <v>436</v>
      </c>
      <c r="E113" s="6" t="str">
        <f>VLOOKUP(A113,COV!$1:$1048576,2,0)</f>
        <v>RJ14GT7545</v>
      </c>
      <c r="F113" s="17">
        <f>VLOOKUP(E113,DISTANCE!$1:$1048576,2,0)</f>
        <v>1.2500000000000001E-2</v>
      </c>
      <c r="G113" s="17">
        <f>VLOOKUP(E113,DISTANCE!$1:$1048576,3,0)</f>
        <v>0.61875000000000002</v>
      </c>
      <c r="H113" s="18">
        <f>VLOOKUP(E113,DISTANCE!$1:$1048576,4,0)</f>
        <v>0.60668981481481477</v>
      </c>
      <c r="I113" s="7">
        <f>VLOOKUP(E113,DISTANCE!$1:$1048576,5,0)</f>
        <v>48.06</v>
      </c>
    </row>
    <row r="114" spans="1:9" x14ac:dyDescent="0.25">
      <c r="A114" t="s">
        <v>498</v>
      </c>
      <c r="B114" s="8">
        <v>33</v>
      </c>
      <c r="C114" s="7" t="s">
        <v>741</v>
      </c>
      <c r="D114" s="7" t="s">
        <v>436</v>
      </c>
      <c r="E114" s="6" t="str">
        <f>VLOOKUP(A114,COV!$1:$1048576,2,0)</f>
        <v>RJ14GT8107</v>
      </c>
      <c r="F114" s="17">
        <f>VLOOKUP(E114,DISTANCE!$1:$1048576,2,0)</f>
        <v>0.26527777777777778</v>
      </c>
      <c r="G114" s="17">
        <f>VLOOKUP(E114,DISTANCE!$1:$1048576,3,0)</f>
        <v>0.51111111111111107</v>
      </c>
      <c r="H114" s="18">
        <f>VLOOKUP(E114,DISTANCE!$1:$1048576,4,0)</f>
        <v>0.24572916666666667</v>
      </c>
      <c r="I114" s="7">
        <f>VLOOKUP(E114,DISTANCE!$1:$1048576,5,0)</f>
        <v>30.21</v>
      </c>
    </row>
    <row r="115" spans="1:9" x14ac:dyDescent="0.25">
      <c r="A115" t="s">
        <v>503</v>
      </c>
      <c r="B115" s="8">
        <v>34</v>
      </c>
      <c r="C115" s="7" t="s">
        <v>741</v>
      </c>
      <c r="D115" s="7" t="s">
        <v>437</v>
      </c>
      <c r="E115" s="6" t="str">
        <f>VLOOKUP(A115,COV!$1:$1048576,2,0)</f>
        <v>RJ14GT7547</v>
      </c>
      <c r="F115" s="17">
        <f>VLOOKUP(E115,DISTANCE!$1:$1048576,2,0)</f>
        <v>6.458333333333334E-2</v>
      </c>
      <c r="G115" s="17">
        <f>VLOOKUP(E115,DISTANCE!$1:$1048576,3,0)</f>
        <v>0.6333333333333333</v>
      </c>
      <c r="H115" s="18">
        <f>VLOOKUP(E115,DISTANCE!$1:$1048576,4,0)</f>
        <v>0.56878472222222221</v>
      </c>
      <c r="I115" s="7">
        <f>VLOOKUP(E115,DISTANCE!$1:$1048576,5,0)</f>
        <v>60.99</v>
      </c>
    </row>
    <row r="116" spans="1:9" x14ac:dyDescent="0.25">
      <c r="A116" t="s">
        <v>501</v>
      </c>
      <c r="B116" s="8">
        <v>35</v>
      </c>
      <c r="C116" s="7" t="s">
        <v>741</v>
      </c>
      <c r="D116" s="7" t="s">
        <v>437</v>
      </c>
      <c r="E116" s="6" t="str">
        <f>VLOOKUP(A116,COV!$1:$1048576,2,0)</f>
        <v>RJ14GT8098</v>
      </c>
      <c r="F116" s="17">
        <f>VLOOKUP(E116,DISTANCE!$1:$1048576,2,0)</f>
        <v>0.27986111111111112</v>
      </c>
      <c r="G116" s="17">
        <f>VLOOKUP(E116,DISTANCE!$1:$1048576,3,0)</f>
        <v>0.57152777777777775</v>
      </c>
      <c r="H116" s="18">
        <f>VLOOKUP(E116,DISTANCE!$1:$1048576,4,0)</f>
        <v>0.29160879629629627</v>
      </c>
      <c r="I116" s="7">
        <f>VLOOKUP(E116,DISTANCE!$1:$1048576,5,0)</f>
        <v>30.88</v>
      </c>
    </row>
    <row r="117" spans="1:9" x14ac:dyDescent="0.25">
      <c r="A117" t="s">
        <v>502</v>
      </c>
      <c r="B117" s="8">
        <v>36</v>
      </c>
      <c r="C117" s="7" t="s">
        <v>741</v>
      </c>
      <c r="D117" s="7" t="s">
        <v>437</v>
      </c>
      <c r="E117" s="6" t="str">
        <f>VLOOKUP(A117,COV!$1:$1048576,2,0)</f>
        <v>RJ14GT7553</v>
      </c>
      <c r="F117" s="17">
        <f>VLOOKUP(E117,DISTANCE!$1:$1048576,2,0)</f>
        <v>0.25486111111111109</v>
      </c>
      <c r="G117" s="17">
        <f>VLOOKUP(E117,DISTANCE!$1:$1048576,3,0)</f>
        <v>0.57916666666666672</v>
      </c>
      <c r="H117" s="18">
        <f>VLOOKUP(E117,DISTANCE!$1:$1048576,4,0)</f>
        <v>0.32381944444444444</v>
      </c>
      <c r="I117" s="7">
        <f>VLOOKUP(E117,DISTANCE!$1:$1048576,5,0)</f>
        <v>30.72</v>
      </c>
    </row>
    <row r="118" spans="1:9" x14ac:dyDescent="0.25">
      <c r="A118" t="s">
        <v>504</v>
      </c>
      <c r="B118" s="8">
        <v>37</v>
      </c>
      <c r="C118" s="7" t="s">
        <v>741</v>
      </c>
      <c r="D118" s="7" t="s">
        <v>438</v>
      </c>
      <c r="E118" s="6" t="str">
        <f>VLOOKUP(A118,COV!$1:$1048576,2,0)</f>
        <v>RJ14GT8296</v>
      </c>
      <c r="F118" s="17">
        <f>VLOOKUP(E118,DISTANCE!$1:$1048576,2,0)</f>
        <v>0.19444444444444445</v>
      </c>
      <c r="G118" s="17">
        <f>VLOOKUP(E118,DISTANCE!$1:$1048576,3,0)</f>
        <v>0.54652777777777772</v>
      </c>
      <c r="H118" s="18">
        <f>VLOOKUP(E118,DISTANCE!$1:$1048576,4,0)</f>
        <v>0.35210648148148149</v>
      </c>
      <c r="I118" s="7">
        <f>VLOOKUP(E118,DISTANCE!$1:$1048576,5,0)</f>
        <v>36.39</v>
      </c>
    </row>
    <row r="119" spans="1:9" x14ac:dyDescent="0.25">
      <c r="A119" t="s">
        <v>505</v>
      </c>
      <c r="B119" s="8">
        <v>38</v>
      </c>
      <c r="C119" s="7" t="s">
        <v>741</v>
      </c>
      <c r="D119" s="7" t="s">
        <v>438</v>
      </c>
      <c r="E119" s="6" t="str">
        <f>VLOOKUP(A119,COV!$1:$1048576,2,0)</f>
        <v>RJ14GT8851</v>
      </c>
      <c r="F119" s="17">
        <f>VLOOKUP(E119,DISTANCE!$1:$1048576,2,0)</f>
        <v>0.28541666666666665</v>
      </c>
      <c r="G119" s="17">
        <f>VLOOKUP(E119,DISTANCE!$1:$1048576,3,0)</f>
        <v>0.65763888888888888</v>
      </c>
      <c r="H119" s="18">
        <f>VLOOKUP(E119,DISTANCE!$1:$1048576,4,0)</f>
        <v>0.37197916666666669</v>
      </c>
      <c r="I119" s="7">
        <f>VLOOKUP(E119,DISTANCE!$1:$1048576,5,0)</f>
        <v>52.57</v>
      </c>
    </row>
    <row r="120" spans="1:9" x14ac:dyDescent="0.25">
      <c r="A120" t="s">
        <v>506</v>
      </c>
      <c r="B120" s="8">
        <v>39</v>
      </c>
      <c r="C120" s="7" t="s">
        <v>741</v>
      </c>
      <c r="D120" s="7" t="s">
        <v>438</v>
      </c>
      <c r="E120" s="6" t="str">
        <f>VLOOKUP(A120,COV!$1:$1048576,2,0)</f>
        <v>RJ14GT7556</v>
      </c>
      <c r="F120" s="17">
        <f>VLOOKUP(E120,DISTANCE!$1:$1048576,2,0)</f>
        <v>0.28888888888888886</v>
      </c>
      <c r="G120" s="17">
        <f>VLOOKUP(E120,DISTANCE!$1:$1048576,3,0)</f>
        <v>0.64583333333333337</v>
      </c>
      <c r="H120" s="18">
        <f>VLOOKUP(E120,DISTANCE!$1:$1048576,4,0)</f>
        <v>0.3573263888888889</v>
      </c>
      <c r="I120" s="7">
        <f>VLOOKUP(E120,DISTANCE!$1:$1048576,5,0)</f>
        <v>45.8</v>
      </c>
    </row>
    <row r="121" spans="1:9" x14ac:dyDescent="0.25">
      <c r="A121" t="s">
        <v>508</v>
      </c>
      <c r="B121" s="8">
        <v>40</v>
      </c>
      <c r="C121" s="7" t="s">
        <v>741</v>
      </c>
      <c r="D121" s="7" t="s">
        <v>439</v>
      </c>
      <c r="E121" s="6" t="str">
        <f>VLOOKUP(A121,COV!$1:$1048576,2,0)</f>
        <v>RJ14GT7555</v>
      </c>
      <c r="F121" s="17">
        <f>VLOOKUP(E121,DISTANCE!$1:$1048576,2,0)</f>
        <v>0.29444444444444445</v>
      </c>
      <c r="G121" s="17">
        <f>VLOOKUP(E121,DISTANCE!$1:$1048576,3,0)</f>
        <v>0.58333333333333337</v>
      </c>
      <c r="H121" s="18">
        <f>VLOOKUP(E121,DISTANCE!$1:$1048576,4,0)</f>
        <v>0.2886111111111111</v>
      </c>
      <c r="I121" s="7">
        <f>VLOOKUP(E121,DISTANCE!$1:$1048576,5,0)</f>
        <v>29.12</v>
      </c>
    </row>
    <row r="122" spans="1:9" x14ac:dyDescent="0.25">
      <c r="A122" t="s">
        <v>509</v>
      </c>
      <c r="B122" s="8">
        <v>41</v>
      </c>
      <c r="C122" s="7" t="s">
        <v>741</v>
      </c>
      <c r="D122" s="7" t="s">
        <v>439</v>
      </c>
      <c r="E122" s="6" t="str">
        <f>VLOOKUP(A122,COV!$1:$1048576,2,0)</f>
        <v>RJ14GT7560</v>
      </c>
      <c r="F122" s="17">
        <f>VLOOKUP(E122,DISTANCE!$1:$1048576,2,0)</f>
        <v>0.11874999999999999</v>
      </c>
      <c r="G122" s="17">
        <f>VLOOKUP(E122,DISTANCE!$1:$1048576,3,0)</f>
        <v>0.6069444444444444</v>
      </c>
      <c r="H122" s="18">
        <f>VLOOKUP(E122,DISTANCE!$1:$1048576,4,0)</f>
        <v>0.48803240740740739</v>
      </c>
      <c r="I122" s="7">
        <f>VLOOKUP(E122,DISTANCE!$1:$1048576,5,0)</f>
        <v>44.62</v>
      </c>
    </row>
    <row r="123" spans="1:9" x14ac:dyDescent="0.25">
      <c r="A123" t="s">
        <v>507</v>
      </c>
      <c r="B123" s="8">
        <v>42</v>
      </c>
      <c r="C123" s="7" t="s">
        <v>741</v>
      </c>
      <c r="D123" s="7" t="s">
        <v>439</v>
      </c>
      <c r="E123" s="6" t="str">
        <f>VLOOKUP(A123,COV!$1:$1048576,2,0)</f>
        <v>RJ14GT8198</v>
      </c>
      <c r="F123" s="17">
        <f>VLOOKUP(E123,DISTANCE!$1:$1048576,2,0)</f>
        <v>3.0555555555555555E-2</v>
      </c>
      <c r="G123" s="17">
        <f>VLOOKUP(E123,DISTANCE!$1:$1048576,3,0)</f>
        <v>0.65763888888888888</v>
      </c>
      <c r="H123" s="18">
        <f>VLOOKUP(E123,DISTANCE!$1:$1048576,4,0)</f>
        <v>0.62728009259259254</v>
      </c>
      <c r="I123" s="7">
        <f>VLOOKUP(E123,DISTANCE!$1:$1048576,5,0)</f>
        <v>29.08</v>
      </c>
    </row>
    <row r="124" spans="1:9" x14ac:dyDescent="0.25">
      <c r="A124" t="s">
        <v>512</v>
      </c>
      <c r="B124" s="8">
        <v>43</v>
      </c>
      <c r="C124" s="7" t="s">
        <v>741</v>
      </c>
      <c r="D124" s="7" t="s">
        <v>440</v>
      </c>
      <c r="E124" s="6" t="str">
        <f>VLOOKUP(A124,COV!$1:$1048576,2,0)</f>
        <v>RJ14GT8237</v>
      </c>
      <c r="F124" s="17">
        <f>VLOOKUP(E124,DISTANCE!$1:$1048576,2,0)</f>
        <v>0.21805555555555556</v>
      </c>
      <c r="G124" s="17">
        <f>VLOOKUP(E124,DISTANCE!$1:$1048576,3,0)</f>
        <v>0.6430555555555556</v>
      </c>
      <c r="H124" s="18">
        <f>VLOOKUP(E124,DISTANCE!$1:$1048576,4,0)</f>
        <v>0.42446759259259259</v>
      </c>
      <c r="I124" s="7">
        <f>VLOOKUP(E124,DISTANCE!$1:$1048576,5,0)</f>
        <v>57.42</v>
      </c>
    </row>
    <row r="125" spans="1:9" x14ac:dyDescent="0.25">
      <c r="A125" t="s">
        <v>510</v>
      </c>
      <c r="B125" s="8">
        <v>44</v>
      </c>
      <c r="C125" s="7" t="s">
        <v>741</v>
      </c>
      <c r="D125" s="7" t="s">
        <v>440</v>
      </c>
      <c r="E125" s="6" t="str">
        <f>VLOOKUP(A125,COV!$1:$1048576,2,0)</f>
        <v>RJ14GT8116</v>
      </c>
      <c r="F125" s="17">
        <f>VLOOKUP(E125,DISTANCE!$1:$1048576,2,0)</f>
        <v>0.30555555555555558</v>
      </c>
      <c r="G125" s="17">
        <f>VLOOKUP(E125,DISTANCE!$1:$1048576,3,0)</f>
        <v>0.56319444444444444</v>
      </c>
      <c r="H125" s="18">
        <f>VLOOKUP(E125,DISTANCE!$1:$1048576,4,0)</f>
        <v>0.25763888888888886</v>
      </c>
      <c r="I125" s="7">
        <f>VLOOKUP(E125,DISTANCE!$1:$1048576,5,0)</f>
        <v>26</v>
      </c>
    </row>
    <row r="126" spans="1:9" x14ac:dyDescent="0.25">
      <c r="A126" t="s">
        <v>511</v>
      </c>
      <c r="B126" s="8">
        <v>45</v>
      </c>
      <c r="C126" s="7" t="s">
        <v>741</v>
      </c>
      <c r="D126" s="7" t="s">
        <v>440</v>
      </c>
      <c r="E126" s="6" t="str">
        <f>VLOOKUP(A126,COV!$1:$1048576,2,0)</f>
        <v>RJ14GT8855</v>
      </c>
      <c r="F126" s="17">
        <f>VLOOKUP(E126,DISTANCE!$1:$1048576,2,0)</f>
        <v>0.4201388888888889</v>
      </c>
      <c r="G126" s="17">
        <f>VLOOKUP(E126,DISTANCE!$1:$1048576,3,0)</f>
        <v>0.49583333333333335</v>
      </c>
      <c r="H126" s="18">
        <f>VLOOKUP(E126,DISTANCE!$1:$1048576,4,0)</f>
        <v>7.5624999999999998E-2</v>
      </c>
      <c r="I126" s="7">
        <f>VLOOKUP(E126,DISTANCE!$1:$1048576,5,0)</f>
        <v>0.64</v>
      </c>
    </row>
    <row r="127" spans="1:9" x14ac:dyDescent="0.25">
      <c r="A127" t="s">
        <v>513</v>
      </c>
      <c r="B127" s="8">
        <v>46</v>
      </c>
      <c r="C127" s="7" t="s">
        <v>741</v>
      </c>
      <c r="D127" s="7" t="s">
        <v>441</v>
      </c>
      <c r="E127" s="6" t="str">
        <f>VLOOKUP(A127,COV!$1:$1048576,2,0)</f>
        <v>RJ14GT7574</v>
      </c>
      <c r="F127" s="17">
        <f>VLOOKUP(E127,DISTANCE!$1:$1048576,2,0)</f>
        <v>0.28958333333333336</v>
      </c>
      <c r="G127" s="17">
        <f>VLOOKUP(E127,DISTANCE!$1:$1048576,3,0)</f>
        <v>0.57499999999999996</v>
      </c>
      <c r="H127" s="18">
        <f>VLOOKUP(E127,DISTANCE!$1:$1048576,4,0)</f>
        <v>0.28574074074074074</v>
      </c>
      <c r="I127" s="7">
        <f>VLOOKUP(E127,DISTANCE!$1:$1048576,5,0)</f>
        <v>32.29</v>
      </c>
    </row>
    <row r="128" spans="1:9" x14ac:dyDescent="0.25">
      <c r="A128" t="s">
        <v>514</v>
      </c>
      <c r="B128" s="8">
        <v>47</v>
      </c>
      <c r="C128" s="7" t="s">
        <v>741</v>
      </c>
      <c r="D128" s="7" t="s">
        <v>441</v>
      </c>
      <c r="E128" s="6" t="str">
        <f>VLOOKUP(A128,COV!$1:$1048576,2,0)</f>
        <v>SVE15002</v>
      </c>
      <c r="F128" s="17">
        <f>VLOOKUP(E128,DISTANCE!$1:$1048576,2,0)</f>
        <v>0.30486111111111114</v>
      </c>
      <c r="G128" s="17">
        <f>VLOOKUP(E128,DISTANCE!$1:$1048576,3,0)</f>
        <v>0.65694444444444444</v>
      </c>
      <c r="H128" s="18">
        <f>VLOOKUP(E128,DISTANCE!$1:$1048576,4,0)</f>
        <v>0.35211805555555553</v>
      </c>
      <c r="I128" s="7">
        <f>VLOOKUP(E128,DISTANCE!$1:$1048576,5,0)</f>
        <v>46.85</v>
      </c>
    </row>
    <row r="129" spans="1:9" x14ac:dyDescent="0.25">
      <c r="A129" t="s">
        <v>516</v>
      </c>
      <c r="B129" s="8">
        <v>48</v>
      </c>
      <c r="C129" s="7" t="s">
        <v>741</v>
      </c>
      <c r="D129" s="7" t="s">
        <v>441</v>
      </c>
      <c r="E129" s="6" t="str">
        <f>VLOOKUP(A129,COV!$1:$1048576,2,0)</f>
        <v>SVF18994</v>
      </c>
      <c r="F129" s="17">
        <f>VLOOKUP(E129,DISTANCE!$1:$1048576,2,0)</f>
        <v>0.28888888888888886</v>
      </c>
      <c r="G129" s="17">
        <f>VLOOKUP(E129,DISTANCE!$1:$1048576,3,0)</f>
        <v>0.59583333333333333</v>
      </c>
      <c r="H129" s="18">
        <f>VLOOKUP(E129,DISTANCE!$1:$1048576,4,0)</f>
        <v>0.30653935185185183</v>
      </c>
      <c r="I129" s="7">
        <f>VLOOKUP(E129,DISTANCE!$1:$1048576,5,0)</f>
        <v>36.369999999999997</v>
      </c>
    </row>
    <row r="130" spans="1:9" x14ac:dyDescent="0.25">
      <c r="A130" t="s">
        <v>515</v>
      </c>
      <c r="B130" s="8">
        <v>49</v>
      </c>
      <c r="C130" s="7" t="s">
        <v>741</v>
      </c>
      <c r="D130" s="7" t="s">
        <v>441</v>
      </c>
      <c r="E130" s="6" t="str">
        <f>VLOOKUP(A130,COV!$1:$1048576,2,0)</f>
        <v>RJ14GT8303</v>
      </c>
      <c r="F130" s="17">
        <f>VLOOKUP(E130,DISTANCE!$1:$1048576,2,0)</f>
        <v>0.25694444444444442</v>
      </c>
      <c r="G130" s="17">
        <f>VLOOKUP(E130,DISTANCE!$1:$1048576,3,0)</f>
        <v>0.6118055555555556</v>
      </c>
      <c r="H130" s="18">
        <f>VLOOKUP(E130,DISTANCE!$1:$1048576,4,0)</f>
        <v>0.35457175925925927</v>
      </c>
      <c r="I130" s="7">
        <f>VLOOKUP(E130,DISTANCE!$1:$1048576,5,0)</f>
        <v>49.59</v>
      </c>
    </row>
    <row r="131" spans="1:9" x14ac:dyDescent="0.25">
      <c r="A131" t="s">
        <v>518</v>
      </c>
      <c r="B131" s="8">
        <v>50</v>
      </c>
      <c r="C131" s="7" t="s">
        <v>741</v>
      </c>
      <c r="D131" s="7" t="s">
        <v>442</v>
      </c>
      <c r="E131" s="6" t="str">
        <f>VLOOKUP(A131,COV!$1:$1048576,2,0)</f>
        <v>RJ14GT8822</v>
      </c>
      <c r="F131" s="17">
        <f>VLOOKUP(E131,DISTANCE!$1:$1048576,2,0)</f>
        <v>1.2500000000000001E-2</v>
      </c>
      <c r="G131" s="17">
        <f>VLOOKUP(E131,DISTANCE!$1:$1048576,3,0)</f>
        <v>0.64722222222222225</v>
      </c>
      <c r="H131" s="18">
        <f>VLOOKUP(E131,DISTANCE!$1:$1048576,4,0)</f>
        <v>0.6350231481481482</v>
      </c>
      <c r="I131" s="7">
        <f>VLOOKUP(E131,DISTANCE!$1:$1048576,5,0)</f>
        <v>42.2</v>
      </c>
    </row>
    <row r="132" spans="1:9" x14ac:dyDescent="0.25">
      <c r="A132" t="s">
        <v>519</v>
      </c>
      <c r="B132" s="8">
        <v>51</v>
      </c>
      <c r="C132" s="7" t="s">
        <v>741</v>
      </c>
      <c r="D132" s="7" t="s">
        <v>442</v>
      </c>
      <c r="E132" s="6" t="str">
        <f>VLOOKUP(A132,COV!$1:$1048576,2,0)</f>
        <v>RJ14GT8824</v>
      </c>
      <c r="F132" s="17">
        <f>VLOOKUP(E132,DISTANCE!$1:$1048576,2,0)</f>
        <v>0.30694444444444446</v>
      </c>
      <c r="G132" s="17">
        <f>VLOOKUP(E132,DISTANCE!$1:$1048576,3,0)</f>
        <v>0.6381944444444444</v>
      </c>
      <c r="H132" s="18">
        <f>VLOOKUP(E132,DISTANCE!$1:$1048576,4,0)</f>
        <v>0.33101851851851855</v>
      </c>
      <c r="I132" s="7">
        <f>VLOOKUP(E132,DISTANCE!$1:$1048576,5,0)</f>
        <v>43.95</v>
      </c>
    </row>
    <row r="133" spans="1:9" x14ac:dyDescent="0.25">
      <c r="A133" t="s">
        <v>517</v>
      </c>
      <c r="B133" s="8">
        <v>52</v>
      </c>
      <c r="C133" s="7" t="s">
        <v>741</v>
      </c>
      <c r="D133" s="7" t="s">
        <v>442</v>
      </c>
      <c r="E133" s="6" t="str">
        <f>VLOOKUP(A133,COV!$1:$1048576,2,0)</f>
        <v>RJ14GT8845</v>
      </c>
      <c r="F133" s="17">
        <f>VLOOKUP(E133,DISTANCE!$1:$1048576,2,0)</f>
        <v>0.23125000000000001</v>
      </c>
      <c r="G133" s="17">
        <f>VLOOKUP(E133,DISTANCE!$1:$1048576,3,0)</f>
        <v>0.65138888888888891</v>
      </c>
      <c r="H133" s="18">
        <f>VLOOKUP(E133,DISTANCE!$1:$1048576,4,0)</f>
        <v>0.41983796296296294</v>
      </c>
      <c r="I133" s="7">
        <f>VLOOKUP(E133,DISTANCE!$1:$1048576,5,0)</f>
        <v>39.44</v>
      </c>
    </row>
    <row r="134" spans="1:9" x14ac:dyDescent="0.25">
      <c r="A134" t="s">
        <v>521</v>
      </c>
      <c r="B134" s="8">
        <v>53</v>
      </c>
      <c r="C134" s="7" t="s">
        <v>741</v>
      </c>
      <c r="D134" s="7" t="s">
        <v>443</v>
      </c>
      <c r="E134" s="6" t="str">
        <f>VLOOKUP(A134,COV!$1:$1048576,2,0)</f>
        <v>RJ14GT8169</v>
      </c>
      <c r="F134" s="17">
        <f>VLOOKUP(E134,DISTANCE!$1:$1048576,2,0)</f>
        <v>0.25624999999999998</v>
      </c>
      <c r="G134" s="17">
        <f>VLOOKUP(E134,DISTANCE!$1:$1048576,3,0)</f>
        <v>0.53541666666666665</v>
      </c>
      <c r="H134" s="18">
        <f>VLOOKUP(E134,DISTANCE!$1:$1048576,4,0)</f>
        <v>0.27883101851851849</v>
      </c>
      <c r="I134" s="7">
        <f>VLOOKUP(E134,DISTANCE!$1:$1048576,5,0)</f>
        <v>46.2</v>
      </c>
    </row>
    <row r="135" spans="1:9" x14ac:dyDescent="0.25">
      <c r="A135" t="s">
        <v>522</v>
      </c>
      <c r="B135" s="8">
        <v>54</v>
      </c>
      <c r="C135" s="7" t="s">
        <v>741</v>
      </c>
      <c r="D135" s="7" t="s">
        <v>443</v>
      </c>
      <c r="E135" s="6" t="str">
        <f>VLOOKUP(A135,COV!$1:$1048576,2,0)</f>
        <v>RJ14GT8815</v>
      </c>
      <c r="F135" s="17">
        <f>VLOOKUP(E135,DISTANCE!$1:$1048576,2,0)</f>
        <v>0.26319444444444445</v>
      </c>
      <c r="G135" s="17">
        <f>VLOOKUP(E135,DISTANCE!$1:$1048576,3,0)</f>
        <v>0.66249999999999998</v>
      </c>
      <c r="H135" s="18">
        <f>VLOOKUP(E135,DISTANCE!$1:$1048576,4,0)</f>
        <v>0.39922453703703703</v>
      </c>
      <c r="I135" s="7">
        <f>VLOOKUP(E135,DISTANCE!$1:$1048576,5,0)</f>
        <v>54.88</v>
      </c>
    </row>
    <row r="136" spans="1:9" x14ac:dyDescent="0.25">
      <c r="A136" t="s">
        <v>523</v>
      </c>
      <c r="B136" s="8">
        <v>55</v>
      </c>
      <c r="C136" s="7" t="s">
        <v>741</v>
      </c>
      <c r="D136" s="7" t="s">
        <v>443</v>
      </c>
      <c r="E136" s="6" t="str">
        <f>VLOOKUP(A136,COV!$1:$1048576,2,0)</f>
        <v>RJ14GT8823</v>
      </c>
      <c r="F136" s="17">
        <f>VLOOKUP(E136,DISTANCE!$1:$1048576,2,0)</f>
        <v>0.26111111111111113</v>
      </c>
      <c r="G136" s="17">
        <f>VLOOKUP(E136,DISTANCE!$1:$1048576,3,0)</f>
        <v>0.55208333333333337</v>
      </c>
      <c r="H136" s="18">
        <f>VLOOKUP(E136,DISTANCE!$1:$1048576,4,0)</f>
        <v>0.29096064814814815</v>
      </c>
      <c r="I136" s="7">
        <f>VLOOKUP(E136,DISTANCE!$1:$1048576,5,0)</f>
        <v>41.36</v>
      </c>
    </row>
    <row r="137" spans="1:9" x14ac:dyDescent="0.25">
      <c r="A137" t="s">
        <v>520</v>
      </c>
      <c r="B137" s="8">
        <v>56</v>
      </c>
      <c r="C137" s="7" t="s">
        <v>741</v>
      </c>
      <c r="D137" s="7" t="s">
        <v>443</v>
      </c>
      <c r="E137" s="6" t="str">
        <f>VLOOKUP(A137,COV!$1:$1048576,2,0)</f>
        <v>RJ14GT8825</v>
      </c>
      <c r="F137" s="17">
        <f>VLOOKUP(E137,DISTANCE!$1:$1048576,2,0)</f>
        <v>0.26319444444444445</v>
      </c>
      <c r="G137" s="17">
        <f>VLOOKUP(E137,DISTANCE!$1:$1048576,3,0)</f>
        <v>0.625</v>
      </c>
      <c r="H137" s="18">
        <f>VLOOKUP(E137,DISTANCE!$1:$1048576,4,0)</f>
        <v>0.36199074074074072</v>
      </c>
      <c r="I137" s="7">
        <f>VLOOKUP(E137,DISTANCE!$1:$1048576,5,0)</f>
        <v>69.55</v>
      </c>
    </row>
    <row r="138" spans="1:9" x14ac:dyDescent="0.25">
      <c r="A138" t="s">
        <v>524</v>
      </c>
      <c r="B138" s="8">
        <v>57</v>
      </c>
      <c r="C138" s="7" t="s">
        <v>741</v>
      </c>
      <c r="D138" s="7" t="s">
        <v>444</v>
      </c>
      <c r="E138" s="6" t="str">
        <f>VLOOKUP(A138,COV!$1:$1048576,2,0)</f>
        <v>RJ14GT7550</v>
      </c>
      <c r="F138" s="17">
        <f>VLOOKUP(E138,DISTANCE!$1:$1048576,2,0)</f>
        <v>2.0833333333333333E-3</v>
      </c>
      <c r="G138" s="17">
        <f>VLOOKUP(E138,DISTANCE!$1:$1048576,3,0)</f>
        <v>0.65972222222222221</v>
      </c>
      <c r="H138" s="18">
        <f>VLOOKUP(E138,DISTANCE!$1:$1048576,4,0)</f>
        <v>0.6580555555555555</v>
      </c>
      <c r="I138" s="7">
        <f>VLOOKUP(E138,DISTANCE!$1:$1048576,5,0)</f>
        <v>34.51</v>
      </c>
    </row>
    <row r="139" spans="1:9" x14ac:dyDescent="0.25">
      <c r="A139" t="s">
        <v>525</v>
      </c>
      <c r="B139" s="8">
        <v>58</v>
      </c>
      <c r="C139" s="7" t="s">
        <v>741</v>
      </c>
      <c r="D139" s="7" t="s">
        <v>444</v>
      </c>
      <c r="E139" s="6" t="str">
        <f>VLOOKUP(A139,COV!$1:$1048576,2,0)</f>
        <v>RJ14GT7559</v>
      </c>
      <c r="F139" s="17">
        <f>VLOOKUP(E139,DISTANCE!$1:$1048576,2,0)</f>
        <v>0.29930555555555555</v>
      </c>
      <c r="G139" s="17">
        <f>VLOOKUP(E139,DISTANCE!$1:$1048576,3,0)</f>
        <v>0.64513888888888893</v>
      </c>
      <c r="H139" s="18">
        <f>VLOOKUP(E139,DISTANCE!$1:$1048576,4,0)</f>
        <v>0.34554398148148147</v>
      </c>
      <c r="I139" s="7">
        <f>VLOOKUP(E139,DISTANCE!$1:$1048576,5,0)</f>
        <v>23.99</v>
      </c>
    </row>
    <row r="140" spans="1:9" x14ac:dyDescent="0.25">
      <c r="A140" t="s">
        <v>526</v>
      </c>
      <c r="B140" s="8">
        <v>59</v>
      </c>
      <c r="C140" s="7" t="s">
        <v>741</v>
      </c>
      <c r="D140" s="7" t="s">
        <v>444</v>
      </c>
      <c r="E140" s="6" t="str">
        <f>VLOOKUP(A140,COV!$1:$1048576,2,0)</f>
        <v>RJ14GT8306</v>
      </c>
      <c r="F140" s="17">
        <f>VLOOKUP(E140,DISTANCE!$1:$1048576,2,0)</f>
        <v>0.29236111111111113</v>
      </c>
      <c r="G140" s="17">
        <f>VLOOKUP(E140,DISTANCE!$1:$1048576,3,0)</f>
        <v>0.66249999999999998</v>
      </c>
      <c r="H140" s="18">
        <f>VLOOKUP(E140,DISTANCE!$1:$1048576,4,0)</f>
        <v>0.37019675925925927</v>
      </c>
      <c r="I140" s="7">
        <f>VLOOKUP(E140,DISTANCE!$1:$1048576,5,0)</f>
        <v>24.69</v>
      </c>
    </row>
    <row r="141" spans="1:9" x14ac:dyDescent="0.25">
      <c r="A141" t="s">
        <v>529</v>
      </c>
      <c r="B141" s="8">
        <v>60</v>
      </c>
      <c r="C141" s="7" t="s">
        <v>741</v>
      </c>
      <c r="D141" s="7" t="s">
        <v>445</v>
      </c>
      <c r="E141" s="6" t="str">
        <f>VLOOKUP(A141,COV!$1:$1048576,2,0)</f>
        <v>RJ14GT7549</v>
      </c>
      <c r="F141" s="17">
        <f>VLOOKUP(E141,DISTANCE!$1:$1048576,2,0)</f>
        <v>0.22569444444444445</v>
      </c>
      <c r="G141" s="17">
        <f>VLOOKUP(E141,DISTANCE!$1:$1048576,3,0)</f>
        <v>0.66249999999999998</v>
      </c>
      <c r="H141" s="18">
        <f>VLOOKUP(E141,DISTANCE!$1:$1048576,4,0)</f>
        <v>0.43668981481481484</v>
      </c>
      <c r="I141" s="7">
        <f>VLOOKUP(E141,DISTANCE!$1:$1048576,5,0)</f>
        <v>51.16</v>
      </c>
    </row>
    <row r="142" spans="1:9" x14ac:dyDescent="0.25">
      <c r="A142" t="s">
        <v>530</v>
      </c>
      <c r="B142" s="8">
        <v>61</v>
      </c>
      <c r="C142" s="7" t="s">
        <v>741</v>
      </c>
      <c r="D142" s="7" t="s">
        <v>445</v>
      </c>
      <c r="E142" s="6" t="str">
        <f>VLOOKUP(A142,COV!$1:$1048576,2,0)</f>
        <v>SVD11111</v>
      </c>
      <c r="F142" s="17">
        <f>VLOOKUP(E142,DISTANCE!$1:$1048576,2,0)</f>
        <v>0.20347222222222222</v>
      </c>
      <c r="G142" s="17">
        <f>VLOOKUP(E142,DISTANCE!$1:$1048576,3,0)</f>
        <v>0.54374999999999996</v>
      </c>
      <c r="H142" s="18">
        <f>VLOOKUP(E142,DISTANCE!$1:$1048576,4,0)</f>
        <v>0.3402662037037037</v>
      </c>
      <c r="I142" s="7">
        <f>VLOOKUP(E142,DISTANCE!$1:$1048576,5,0)</f>
        <v>39.450000000000003</v>
      </c>
    </row>
    <row r="143" spans="1:9" x14ac:dyDescent="0.25">
      <c r="A143" t="s">
        <v>527</v>
      </c>
      <c r="B143" s="8">
        <v>62</v>
      </c>
      <c r="C143" s="7" t="s">
        <v>741</v>
      </c>
      <c r="D143" s="7" t="s">
        <v>445</v>
      </c>
      <c r="E143" s="6" t="str">
        <f>VLOOKUP(A143,COV!$1:$1048576,2,0)</f>
        <v>SVE14909</v>
      </c>
      <c r="F143" s="17">
        <f>VLOOKUP(E143,DISTANCE!$1:$1048576,2,0)</f>
        <v>0.2951388888888889</v>
      </c>
      <c r="G143" s="17">
        <f>VLOOKUP(E143,DISTANCE!$1:$1048576,3,0)</f>
        <v>0.66249999999999998</v>
      </c>
      <c r="H143" s="18">
        <f>VLOOKUP(E143,DISTANCE!$1:$1048576,4,0)</f>
        <v>0.36773148148148149</v>
      </c>
      <c r="I143" s="7">
        <f>VLOOKUP(E143,DISTANCE!$1:$1048576,5,0)</f>
        <v>39.630000000000003</v>
      </c>
    </row>
    <row r="144" spans="1:9" x14ac:dyDescent="0.25">
      <c r="A144" t="s">
        <v>528</v>
      </c>
      <c r="B144" s="8">
        <v>63</v>
      </c>
      <c r="C144" s="7" t="s">
        <v>741</v>
      </c>
      <c r="D144" s="7" t="s">
        <v>445</v>
      </c>
      <c r="E144" s="6" t="str">
        <f>VLOOKUP(A144,COV!$1:$1048576,2,0)</f>
        <v>RJ14GT7570</v>
      </c>
      <c r="F144" s="17">
        <f>VLOOKUP(E144,DISTANCE!$1:$1048576,2,0)</f>
        <v>0.27847222222222223</v>
      </c>
      <c r="G144" s="17">
        <f>VLOOKUP(E144,DISTANCE!$1:$1048576,3,0)</f>
        <v>0.65694444444444444</v>
      </c>
      <c r="H144" s="18">
        <f>VLOOKUP(E144,DISTANCE!$1:$1048576,4,0)</f>
        <v>0.37819444444444444</v>
      </c>
      <c r="I144" s="7">
        <f>VLOOKUP(E144,DISTANCE!$1:$1048576,5,0)</f>
        <v>19.79</v>
      </c>
    </row>
    <row r="145" spans="1:9" x14ac:dyDescent="0.25">
      <c r="A145" t="s">
        <v>531</v>
      </c>
      <c r="B145" s="8">
        <v>64</v>
      </c>
      <c r="C145" s="7" t="s">
        <v>741</v>
      </c>
      <c r="D145" s="7" t="s">
        <v>445</v>
      </c>
      <c r="E145" s="6" t="str">
        <f>VLOOKUP(A145,COV!$1:$1048576,2,0)</f>
        <v>RJ14GT8261</v>
      </c>
      <c r="F145" s="17">
        <f>VLOOKUP(E145,DISTANCE!$1:$1048576,2,0)</f>
        <v>0.26666666666666666</v>
      </c>
      <c r="G145" s="17">
        <f>VLOOKUP(E145,DISTANCE!$1:$1048576,3,0)</f>
        <v>0.66041666666666665</v>
      </c>
      <c r="H145" s="18">
        <f>VLOOKUP(E145,DISTANCE!$1:$1048576,4,0)</f>
        <v>0.39319444444444446</v>
      </c>
      <c r="I145" s="7">
        <f>VLOOKUP(E145,DISTANCE!$1:$1048576,5,0)</f>
        <v>33.700000000000003</v>
      </c>
    </row>
    <row r="146" spans="1:9" x14ac:dyDescent="0.25">
      <c r="A146" t="s">
        <v>532</v>
      </c>
      <c r="B146" s="8">
        <v>65</v>
      </c>
      <c r="C146" s="7" t="s">
        <v>741</v>
      </c>
      <c r="D146" s="7" t="s">
        <v>445</v>
      </c>
      <c r="E146" s="6" t="str">
        <f>VLOOKUP(A146,COV!$1:$1048576,2,0)</f>
        <v>RJ14GT8295</v>
      </c>
      <c r="F146" s="17">
        <f>VLOOKUP(E146,DISTANCE!$1:$1048576,2,0)</f>
        <v>0.2590277777777778</v>
      </c>
      <c r="G146" s="17">
        <f>VLOOKUP(E146,DISTANCE!$1:$1048576,3,0)</f>
        <v>0.61388888888888893</v>
      </c>
      <c r="H146" s="18">
        <f>VLOOKUP(E146,DISTANCE!$1:$1048576,4,0)</f>
        <v>0.35521990740740739</v>
      </c>
      <c r="I146" s="7">
        <f>VLOOKUP(E146,DISTANCE!$1:$1048576,5,0)</f>
        <v>32.75</v>
      </c>
    </row>
    <row r="147" spans="1:9" x14ac:dyDescent="0.25">
      <c r="A147" t="s">
        <v>533</v>
      </c>
      <c r="B147" s="8">
        <v>66</v>
      </c>
      <c r="C147" s="7" t="s">
        <v>741</v>
      </c>
      <c r="D147" s="7" t="s">
        <v>446</v>
      </c>
      <c r="E147" s="6" t="str">
        <f>VLOOKUP(A147,COV!$1:$1048576,2,0)</f>
        <v>SVC08939</v>
      </c>
      <c r="F147" s="17">
        <f>VLOOKUP(E147,DISTANCE!$1:$1048576,2,0)</f>
        <v>0.2673611111111111</v>
      </c>
      <c r="G147" s="17">
        <f>VLOOKUP(E147,DISTANCE!$1:$1048576,3,0)</f>
        <v>0.53611111111111109</v>
      </c>
      <c r="H147" s="18">
        <f>VLOOKUP(E147,DISTANCE!$1:$1048576,4,0)</f>
        <v>0.26844907407407409</v>
      </c>
      <c r="I147" s="7">
        <f>VLOOKUP(E147,DISTANCE!$1:$1048576,5,0)</f>
        <v>37.76</v>
      </c>
    </row>
    <row r="148" spans="1:9" x14ac:dyDescent="0.25">
      <c r="A148" t="s">
        <v>534</v>
      </c>
      <c r="B148" s="8">
        <v>67</v>
      </c>
      <c r="C148" s="7" t="s">
        <v>741</v>
      </c>
      <c r="D148" s="7" t="s">
        <v>446</v>
      </c>
      <c r="E148" s="6" t="str">
        <f>VLOOKUP(A148,COV!$1:$1048576,2,0)</f>
        <v>RJ14GT8305</v>
      </c>
      <c r="F148" s="17">
        <f>VLOOKUP(E148,DISTANCE!$1:$1048576,2,0)</f>
        <v>0.24791666666666667</v>
      </c>
      <c r="G148" s="17">
        <f>VLOOKUP(E148,DISTANCE!$1:$1048576,3,0)</f>
        <v>0.65069444444444446</v>
      </c>
      <c r="H148" s="18">
        <f>VLOOKUP(E148,DISTANCE!$1:$1048576,4,0)</f>
        <v>0.40266203703703701</v>
      </c>
      <c r="I148" s="7">
        <f>VLOOKUP(E148,DISTANCE!$1:$1048576,5,0)</f>
        <v>40.1</v>
      </c>
    </row>
    <row r="149" spans="1:9" x14ac:dyDescent="0.25">
      <c r="A149" t="s">
        <v>535</v>
      </c>
      <c r="B149" s="8">
        <v>68</v>
      </c>
      <c r="C149" s="7" t="s">
        <v>741</v>
      </c>
      <c r="D149" s="7" t="s">
        <v>446</v>
      </c>
      <c r="E149" s="6" t="str">
        <f>VLOOKUP(A149,COV!$1:$1048576,2,0)</f>
        <v>RJ14GT8304</v>
      </c>
      <c r="F149" s="17">
        <f>VLOOKUP(E149,DISTANCE!$1:$1048576,2,0)</f>
        <v>0.26319444444444445</v>
      </c>
      <c r="G149" s="17">
        <f>VLOOKUP(E149,DISTANCE!$1:$1048576,3,0)</f>
        <v>0.54791666666666672</v>
      </c>
      <c r="H149" s="18">
        <f>VLOOKUP(E149,DISTANCE!$1:$1048576,4,0)</f>
        <v>0.28491898148148148</v>
      </c>
      <c r="I149" s="7">
        <f>VLOOKUP(E149,DISTANCE!$1:$1048576,5,0)</f>
        <v>26.96</v>
      </c>
    </row>
    <row r="150" spans="1:9" x14ac:dyDescent="0.25">
      <c r="A150" t="s">
        <v>225</v>
      </c>
      <c r="B150" s="8">
        <v>69</v>
      </c>
      <c r="C150" s="7" t="s">
        <v>741</v>
      </c>
      <c r="D150" s="7" t="s">
        <v>447</v>
      </c>
      <c r="E150" s="6" t="str">
        <f>VLOOKUP(A150,COV!$1:$1048576,2,0)</f>
        <v>SVE14888</v>
      </c>
      <c r="F150" s="17">
        <f>VLOOKUP(E150,DISTANCE!$1:$1048576,2,0)</f>
        <v>0.24583333333333332</v>
      </c>
      <c r="G150" s="17">
        <f>VLOOKUP(E150,DISTANCE!$1:$1048576,3,0)</f>
        <v>0.57638888888888884</v>
      </c>
      <c r="H150" s="18">
        <f>VLOOKUP(E150,DISTANCE!$1:$1048576,4,0)</f>
        <v>0.33069444444444446</v>
      </c>
      <c r="I150" s="7">
        <f>VLOOKUP(E150,DISTANCE!$1:$1048576,5,0)</f>
        <v>43.72</v>
      </c>
    </row>
    <row r="151" spans="1:9" x14ac:dyDescent="0.25">
      <c r="A151" t="s">
        <v>536</v>
      </c>
      <c r="B151" s="8">
        <v>70</v>
      </c>
      <c r="C151" s="7" t="s">
        <v>741</v>
      </c>
      <c r="D151" s="7" t="s">
        <v>447</v>
      </c>
      <c r="E151" s="6" t="str">
        <f>VLOOKUP(A151,COV!$1:$1048576,2,0)</f>
        <v>RJ14GT8836</v>
      </c>
      <c r="F151" s="17">
        <f>VLOOKUP(E151,DISTANCE!$1:$1048576,2,0)</f>
        <v>0.25208333333333333</v>
      </c>
      <c r="G151" s="17">
        <f>VLOOKUP(E151,DISTANCE!$1:$1048576,3,0)</f>
        <v>0.57777777777777772</v>
      </c>
      <c r="H151" s="18">
        <f>VLOOKUP(E151,DISTANCE!$1:$1048576,4,0)</f>
        <v>0.32603009259259258</v>
      </c>
      <c r="I151" s="7">
        <f>VLOOKUP(E151,DISTANCE!$1:$1048576,5,0)</f>
        <v>29.14</v>
      </c>
    </row>
    <row r="152" spans="1:9" x14ac:dyDescent="0.25">
      <c r="A152" t="s">
        <v>538</v>
      </c>
      <c r="B152" s="8">
        <v>71</v>
      </c>
      <c r="C152" s="7" t="s">
        <v>741</v>
      </c>
      <c r="D152" s="7" t="s">
        <v>447</v>
      </c>
      <c r="E152" s="6" t="str">
        <f>VLOOKUP(A152,COV!$1:$1048576,2,0)</f>
        <v>RJ14GT8832</v>
      </c>
      <c r="F152" s="17">
        <f>VLOOKUP(E152,DISTANCE!$1:$1048576,2,0)</f>
        <v>0.2361111111111111</v>
      </c>
      <c r="G152" s="17">
        <f>VLOOKUP(E152,DISTANCE!$1:$1048576,3,0)</f>
        <v>0.65069444444444446</v>
      </c>
      <c r="H152" s="18">
        <f>VLOOKUP(E152,DISTANCE!$1:$1048576,4,0)</f>
        <v>0.41458333333333336</v>
      </c>
      <c r="I152" s="7">
        <f>VLOOKUP(E152,DISTANCE!$1:$1048576,5,0)</f>
        <v>43.08</v>
      </c>
    </row>
    <row r="153" spans="1:9" x14ac:dyDescent="0.25">
      <c r="A153" t="s">
        <v>206</v>
      </c>
      <c r="B153" s="8">
        <v>1</v>
      </c>
      <c r="C153" s="7" t="s">
        <v>742</v>
      </c>
      <c r="D153" s="7" t="s">
        <v>448</v>
      </c>
      <c r="E153" s="6" t="str">
        <f>VLOOKUP(A153,COV!$1:$1048576,2,0)</f>
        <v>RJ14GT9472</v>
      </c>
      <c r="F153" s="17">
        <f>VLOOKUP(E153,DISTANCE!$1:$1048576,2,0)</f>
        <v>0.25</v>
      </c>
      <c r="G153" s="17">
        <f>VLOOKUP(E153,DISTANCE!$1:$1048576,3,0)</f>
        <v>0.46458333333333335</v>
      </c>
      <c r="H153" s="18">
        <f>VLOOKUP(E153,DISTANCE!$1:$1048576,4,0)</f>
        <v>0.21402777777777779</v>
      </c>
      <c r="I153" s="7">
        <f>VLOOKUP(E153,DISTANCE!$1:$1048576,5,0)</f>
        <v>16.32</v>
      </c>
    </row>
    <row r="154" spans="1:9" x14ac:dyDescent="0.25">
      <c r="A154" t="s">
        <v>292</v>
      </c>
      <c r="B154" s="8">
        <v>2</v>
      </c>
      <c r="C154" s="7" t="s">
        <v>742</v>
      </c>
      <c r="D154" s="7" t="s">
        <v>448</v>
      </c>
      <c r="E154" s="6" t="str">
        <f>VLOOKUP(A154,COV!$1:$1048576,2,0)</f>
        <v>RJ14GT8921</v>
      </c>
      <c r="F154" s="17">
        <f>VLOOKUP(E154,DISTANCE!$1:$1048576,2,0)</f>
        <v>0.29236111111111113</v>
      </c>
      <c r="G154" s="17">
        <f>VLOOKUP(E154,DISTANCE!$1:$1048576,3,0)</f>
        <v>0.4548611111111111</v>
      </c>
      <c r="H154" s="18">
        <f>VLOOKUP(E154,DISTANCE!$1:$1048576,4,0)</f>
        <v>0.16280092592592593</v>
      </c>
      <c r="I154" s="7">
        <f>VLOOKUP(E154,DISTANCE!$1:$1048576,5,0)</f>
        <v>28.48</v>
      </c>
    </row>
    <row r="155" spans="1:9" x14ac:dyDescent="0.25">
      <c r="A155" t="s">
        <v>226</v>
      </c>
      <c r="B155" s="8">
        <v>3</v>
      </c>
      <c r="C155" s="7" t="s">
        <v>742</v>
      </c>
      <c r="D155" s="7" t="s">
        <v>449</v>
      </c>
      <c r="E155" s="6" t="str">
        <f>VLOOKUP(A155,COV!$1:$1048576,2,0)</f>
        <v>RJ14GT9483</v>
      </c>
      <c r="F155" s="17">
        <f>VLOOKUP(E155,DISTANCE!$1:$1048576,2,0)</f>
        <v>0.26805555555555555</v>
      </c>
      <c r="G155" s="17">
        <f>VLOOKUP(E155,DISTANCE!$1:$1048576,3,0)</f>
        <v>0.44583333333333336</v>
      </c>
      <c r="H155" s="18">
        <f>VLOOKUP(E155,DISTANCE!$1:$1048576,4,0)</f>
        <v>0.17756944444444445</v>
      </c>
      <c r="I155" s="7">
        <f>VLOOKUP(E155,DISTANCE!$1:$1048576,5,0)</f>
        <v>16.510000000000002</v>
      </c>
    </row>
    <row r="156" spans="1:9" x14ac:dyDescent="0.25">
      <c r="A156" t="s">
        <v>296</v>
      </c>
      <c r="B156" s="8">
        <v>4</v>
      </c>
      <c r="C156" s="7" t="s">
        <v>742</v>
      </c>
      <c r="D156" s="7" t="s">
        <v>449</v>
      </c>
      <c r="E156" s="6" t="str">
        <f>VLOOKUP(A156,COV!$1:$1048576,2,0)</f>
        <v>RJ14GT9461</v>
      </c>
      <c r="F156" s="17">
        <f>VLOOKUP(E156,DISTANCE!$1:$1048576,2,0)</f>
        <v>0.2986111111111111</v>
      </c>
      <c r="G156" s="17">
        <f>VLOOKUP(E156,DISTANCE!$1:$1048576,3,0)</f>
        <v>0.50694444444444442</v>
      </c>
      <c r="H156" s="18">
        <f>VLOOKUP(E156,DISTANCE!$1:$1048576,4,0)</f>
        <v>0.20813657407407407</v>
      </c>
      <c r="I156" s="7">
        <f>VLOOKUP(E156,DISTANCE!$1:$1048576,5,0)</f>
        <v>20.45</v>
      </c>
    </row>
    <row r="157" spans="1:9" x14ac:dyDescent="0.25">
      <c r="A157" t="s">
        <v>242</v>
      </c>
      <c r="B157" s="8">
        <v>5</v>
      </c>
      <c r="C157" s="7" t="s">
        <v>742</v>
      </c>
      <c r="D157" s="7" t="s">
        <v>450</v>
      </c>
      <c r="E157" s="6" t="str">
        <f>VLOOKUP(A157,COV!$1:$1048576,2,0)</f>
        <v>RJ14GT8849</v>
      </c>
      <c r="F157" s="17">
        <f>VLOOKUP(E157,DISTANCE!$1:$1048576,2,0)</f>
        <v>0.2590277777777778</v>
      </c>
      <c r="G157" s="17">
        <f>VLOOKUP(E157,DISTANCE!$1:$1048576,3,0)</f>
        <v>0.53263888888888888</v>
      </c>
      <c r="H157" s="18">
        <f>VLOOKUP(E157,DISTANCE!$1:$1048576,4,0)</f>
        <v>0.27359953703703704</v>
      </c>
      <c r="I157" s="7">
        <f>VLOOKUP(E157,DISTANCE!$1:$1048576,5,0)</f>
        <v>27.27</v>
      </c>
    </row>
    <row r="158" spans="1:9" x14ac:dyDescent="0.25">
      <c r="A158" t="s">
        <v>295</v>
      </c>
      <c r="B158" s="8">
        <v>6</v>
      </c>
      <c r="C158" s="7" t="s">
        <v>742</v>
      </c>
      <c r="D158" s="7" t="s">
        <v>450</v>
      </c>
      <c r="E158" s="6" t="str">
        <f>VLOOKUP(A158,COV!$1:$1048576,2,0)</f>
        <v>RJ14GT9038</v>
      </c>
      <c r="F158" s="17">
        <f>VLOOKUP(E158,DISTANCE!$1:$1048576,2,0)</f>
        <v>0.27361111111111114</v>
      </c>
      <c r="G158" s="17">
        <f>VLOOKUP(E158,DISTANCE!$1:$1048576,3,0)</f>
        <v>0.55555555555555558</v>
      </c>
      <c r="H158" s="18">
        <f>VLOOKUP(E158,DISTANCE!$1:$1048576,4,0)</f>
        <v>0.28157407407407409</v>
      </c>
      <c r="I158" s="7">
        <f>VLOOKUP(E158,DISTANCE!$1:$1048576,5,0)</f>
        <v>14.47</v>
      </c>
    </row>
    <row r="159" spans="1:9" x14ac:dyDescent="0.25">
      <c r="A159" t="s">
        <v>227</v>
      </c>
      <c r="B159" s="8">
        <v>7</v>
      </c>
      <c r="C159" s="7" t="s">
        <v>742</v>
      </c>
      <c r="D159" s="7" t="s">
        <v>451</v>
      </c>
      <c r="E159" s="6" t="str">
        <f>VLOOKUP(A159,COV!$1:$1048576,2,0)</f>
        <v>RJ14GT9480</v>
      </c>
      <c r="F159" s="17">
        <f>VLOOKUP(E159,DISTANCE!$1:$1048576,2,0)</f>
        <v>0.28819444444444442</v>
      </c>
      <c r="G159" s="17">
        <f>VLOOKUP(E159,DISTANCE!$1:$1048576,3,0)</f>
        <v>0.66249999999999998</v>
      </c>
      <c r="H159" s="18">
        <f>VLOOKUP(E159,DISTANCE!$1:$1048576,4,0)</f>
        <v>0.37402777777777779</v>
      </c>
      <c r="I159" s="7">
        <f>VLOOKUP(E159,DISTANCE!$1:$1048576,5,0)</f>
        <v>21.75</v>
      </c>
    </row>
    <row r="160" spans="1:9" x14ac:dyDescent="0.25">
      <c r="A160" t="s">
        <v>293</v>
      </c>
      <c r="B160" s="8">
        <v>8</v>
      </c>
      <c r="C160" s="7" t="s">
        <v>742</v>
      </c>
      <c r="D160" s="7" t="s">
        <v>451</v>
      </c>
      <c r="E160" s="6" t="str">
        <f>VLOOKUP(A160,COV!$1:$1048576,2,0)</f>
        <v>RJ14GT9475</v>
      </c>
      <c r="F160" s="17">
        <f>VLOOKUP(E160,DISTANCE!$1:$1048576,2,0)</f>
        <v>0.24930555555555556</v>
      </c>
      <c r="G160" s="17">
        <f>VLOOKUP(E160,DISTANCE!$1:$1048576,3,0)</f>
        <v>0.47222222222222221</v>
      </c>
      <c r="H160" s="18">
        <f>VLOOKUP(E160,DISTANCE!$1:$1048576,4,0)</f>
        <v>0.2230787037037037</v>
      </c>
      <c r="I160" s="7">
        <f>VLOOKUP(E160,DISTANCE!$1:$1048576,5,0)</f>
        <v>41.28</v>
      </c>
    </row>
    <row r="161" spans="1:9" x14ac:dyDescent="0.25">
      <c r="A161" t="s">
        <v>223</v>
      </c>
      <c r="B161" s="8">
        <v>9</v>
      </c>
      <c r="C161" s="7" t="s">
        <v>742</v>
      </c>
      <c r="D161" s="7" t="s">
        <v>452</v>
      </c>
      <c r="E161" s="6" t="str">
        <f>VLOOKUP(A161,COV!$1:$1048576,2,0)</f>
        <v>RJ14GT9042</v>
      </c>
      <c r="F161" s="17">
        <f>VLOOKUP(E161,DISTANCE!$1:$1048576,2,0)</f>
        <v>0.30555555555555558</v>
      </c>
      <c r="G161" s="17">
        <f>VLOOKUP(E161,DISTANCE!$1:$1048576,3,0)</f>
        <v>0.51249999999999996</v>
      </c>
      <c r="H161" s="18">
        <f>VLOOKUP(E161,DISTANCE!$1:$1048576,4,0)</f>
        <v>0.20645833333333333</v>
      </c>
      <c r="I161" s="7">
        <f>VLOOKUP(E161,DISTANCE!$1:$1048576,5,0)</f>
        <v>15.75</v>
      </c>
    </row>
    <row r="162" spans="1:9" x14ac:dyDescent="0.25">
      <c r="A162" t="s">
        <v>281</v>
      </c>
      <c r="B162" s="8">
        <v>10</v>
      </c>
      <c r="C162" s="7" t="s">
        <v>742</v>
      </c>
      <c r="D162" s="7" t="s">
        <v>452</v>
      </c>
      <c r="E162" s="6" t="str">
        <f>VLOOKUP(A162,COV!$1:$1048576,2,0)</f>
        <v>RJ14GT8165</v>
      </c>
      <c r="F162" s="17">
        <f>VLOOKUP(E162,DISTANCE!$1:$1048576,2,0)</f>
        <v>0.31111111111111112</v>
      </c>
      <c r="G162" s="17">
        <f>VLOOKUP(E162,DISTANCE!$1:$1048576,3,0)</f>
        <v>0.64861111111111114</v>
      </c>
      <c r="H162" s="18">
        <f>VLOOKUP(E162,DISTANCE!$1:$1048576,4,0)</f>
        <v>0.33748842592592593</v>
      </c>
      <c r="I162" s="7">
        <f>VLOOKUP(E162,DISTANCE!$1:$1048576,5,0)</f>
        <v>16.010000000000002</v>
      </c>
    </row>
    <row r="163" spans="1:9" x14ac:dyDescent="0.25">
      <c r="A163" t="s">
        <v>210</v>
      </c>
      <c r="B163" s="8">
        <v>11</v>
      </c>
      <c r="C163" s="7" t="s">
        <v>742</v>
      </c>
      <c r="D163" s="7" t="s">
        <v>453</v>
      </c>
      <c r="E163" s="6" t="str">
        <f>VLOOKUP(A163,COV!$1:$1048576,2,0)</f>
        <v>RJ14GT8920</v>
      </c>
      <c r="F163" s="17">
        <f>VLOOKUP(E163,DISTANCE!$1:$1048576,2,0)</f>
        <v>0.2902777777777778</v>
      </c>
      <c r="G163" s="17">
        <f>VLOOKUP(E163,DISTANCE!$1:$1048576,3,0)</f>
        <v>0.48958333333333331</v>
      </c>
      <c r="H163" s="18">
        <f>VLOOKUP(E163,DISTANCE!$1:$1048576,4,0)</f>
        <v>0.19909722222222223</v>
      </c>
      <c r="I163" s="7">
        <f>VLOOKUP(E163,DISTANCE!$1:$1048576,5,0)</f>
        <v>19.75</v>
      </c>
    </row>
    <row r="164" spans="1:9" x14ac:dyDescent="0.25">
      <c r="A164" t="s">
        <v>236</v>
      </c>
      <c r="B164" s="8">
        <v>12</v>
      </c>
      <c r="C164" s="7" t="s">
        <v>742</v>
      </c>
      <c r="D164" s="7" t="s">
        <v>453</v>
      </c>
      <c r="E164" s="6" t="str">
        <f>VLOOKUP(A164,COV!$1:$1048576,2,0)</f>
        <v>RJ14GT9048</v>
      </c>
      <c r="F164" s="17">
        <f>VLOOKUP(E164,DISTANCE!$1:$1048576,2,0)</f>
        <v>0.3034722222222222</v>
      </c>
      <c r="G164" s="17">
        <f>VLOOKUP(E164,DISTANCE!$1:$1048576,3,0)</f>
        <v>0.55208333333333337</v>
      </c>
      <c r="H164" s="18">
        <f>VLOOKUP(E164,DISTANCE!$1:$1048576,4,0)</f>
        <v>0.24879629629629629</v>
      </c>
      <c r="I164" s="7">
        <f>VLOOKUP(E164,DISTANCE!$1:$1048576,5,0)</f>
        <v>23.66</v>
      </c>
    </row>
    <row r="165" spans="1:9" x14ac:dyDescent="0.25">
      <c r="A165" t="s">
        <v>264</v>
      </c>
      <c r="B165" s="8">
        <v>13</v>
      </c>
      <c r="C165" s="7" t="s">
        <v>742</v>
      </c>
      <c r="D165" s="7" t="s">
        <v>454</v>
      </c>
      <c r="E165" s="6" t="str">
        <f>VLOOKUP(A165,COV!$1:$1048576,2,0)</f>
        <v>RJ14GT8099</v>
      </c>
      <c r="F165" s="17">
        <f>VLOOKUP(E165,DISTANCE!$1:$1048576,2,0)</f>
        <v>0.27638888888888891</v>
      </c>
      <c r="G165" s="17">
        <f>VLOOKUP(E165,DISTANCE!$1:$1048576,3,0)</f>
        <v>0.47222222222222221</v>
      </c>
      <c r="H165" s="18">
        <f>VLOOKUP(E165,DISTANCE!$1:$1048576,4,0)</f>
        <v>0.19542824074074075</v>
      </c>
      <c r="I165" s="7">
        <f>VLOOKUP(E165,DISTANCE!$1:$1048576,5,0)</f>
        <v>21.22</v>
      </c>
    </row>
    <row r="166" spans="1:9" x14ac:dyDescent="0.25">
      <c r="A166" t="s">
        <v>280</v>
      </c>
      <c r="B166" s="8">
        <v>14</v>
      </c>
      <c r="C166" s="7" t="s">
        <v>742</v>
      </c>
      <c r="D166" s="7" t="s">
        <v>454</v>
      </c>
      <c r="E166" s="6" t="str">
        <f>VLOOKUP(A166,COV!$1:$1048576,2,0)</f>
        <v>RJ14GT8976</v>
      </c>
      <c r="F166" s="17" t="e">
        <f>VLOOKUP(E166,DISTANCE!$1:$1048576,2,0)</f>
        <v>#N/A</v>
      </c>
      <c r="G166" s="17" t="e">
        <f>VLOOKUP(E166,DISTANCE!$1:$1048576,3,0)</f>
        <v>#N/A</v>
      </c>
      <c r="H166" s="18" t="e">
        <f>VLOOKUP(E166,DISTANCE!$1:$1048576,4,0)</f>
        <v>#N/A</v>
      </c>
      <c r="I166" s="7" t="e">
        <f>VLOOKUP(E166,DISTANCE!$1:$1048576,5,0)</f>
        <v>#N/A</v>
      </c>
    </row>
    <row r="167" spans="1:9" x14ac:dyDescent="0.25">
      <c r="A167" t="s">
        <v>289</v>
      </c>
      <c r="B167" s="8">
        <v>15</v>
      </c>
      <c r="C167" s="7" t="s">
        <v>742</v>
      </c>
      <c r="D167" s="7" t="s">
        <v>455</v>
      </c>
      <c r="E167" s="6" t="str">
        <f>VLOOKUP(A167,COV!$1:$1048576,2,0)</f>
        <v>RJ14GT8840</v>
      </c>
      <c r="F167" s="17">
        <f>VLOOKUP(E167,DISTANCE!$1:$1048576,2,0)</f>
        <v>0.28472222222222221</v>
      </c>
      <c r="G167" s="17">
        <f>VLOOKUP(E167,DISTANCE!$1:$1048576,3,0)</f>
        <v>0.55000000000000004</v>
      </c>
      <c r="H167" s="18">
        <f>VLOOKUP(E167,DISTANCE!$1:$1048576,4,0)</f>
        <v>0.26547453703703705</v>
      </c>
      <c r="I167" s="7">
        <f>VLOOKUP(E167,DISTANCE!$1:$1048576,5,0)</f>
        <v>28.24</v>
      </c>
    </row>
    <row r="168" spans="1:9" x14ac:dyDescent="0.25">
      <c r="A168" t="s">
        <v>303</v>
      </c>
      <c r="B168" s="8">
        <v>16</v>
      </c>
      <c r="C168" s="7" t="s">
        <v>742</v>
      </c>
      <c r="D168" s="7" t="s">
        <v>455</v>
      </c>
      <c r="E168" s="6" t="str">
        <f>VLOOKUP(A168,COV!$1:$1048576,2,0)</f>
        <v>RJ14GT9465</v>
      </c>
      <c r="F168" s="17">
        <f>VLOOKUP(E168,DISTANCE!$1:$1048576,2,0)</f>
        <v>0.23680555555555555</v>
      </c>
      <c r="G168" s="17">
        <f>VLOOKUP(E168,DISTANCE!$1:$1048576,3,0)</f>
        <v>0.48125000000000001</v>
      </c>
      <c r="H168" s="18">
        <f>VLOOKUP(E168,DISTANCE!$1:$1048576,4,0)</f>
        <v>0.24432870370370371</v>
      </c>
      <c r="I168" s="7">
        <f>VLOOKUP(E168,DISTANCE!$1:$1048576,5,0)</f>
        <v>21.24</v>
      </c>
    </row>
    <row r="169" spans="1:9" x14ac:dyDescent="0.25">
      <c r="A169" t="s">
        <v>275</v>
      </c>
      <c r="B169" s="8">
        <v>17</v>
      </c>
      <c r="C169" s="7" t="s">
        <v>742</v>
      </c>
      <c r="D169" s="7" t="s">
        <v>456</v>
      </c>
      <c r="E169" s="6" t="str">
        <f>VLOOKUP(A169,COV!$1:$1048576,2,0)</f>
        <v>RJ14GT8923</v>
      </c>
      <c r="F169" s="17">
        <f>VLOOKUP(E169,DISTANCE!$1:$1048576,2,0)</f>
        <v>0.29583333333333334</v>
      </c>
      <c r="G169" s="17">
        <f>VLOOKUP(E169,DISTANCE!$1:$1048576,3,0)</f>
        <v>0.60486111111111107</v>
      </c>
      <c r="H169" s="18">
        <f>VLOOKUP(E169,DISTANCE!$1:$1048576,4,0)</f>
        <v>0.30885416666666665</v>
      </c>
      <c r="I169" s="7">
        <f>VLOOKUP(E169,DISTANCE!$1:$1048576,5,0)</f>
        <v>14.73</v>
      </c>
    </row>
    <row r="170" spans="1:9" x14ac:dyDescent="0.25">
      <c r="A170" t="s">
        <v>291</v>
      </c>
      <c r="B170" s="8">
        <v>18</v>
      </c>
      <c r="C170" s="7" t="s">
        <v>742</v>
      </c>
      <c r="D170" s="7" t="s">
        <v>456</v>
      </c>
      <c r="E170" s="6" t="str">
        <f>VLOOKUP(A170,COV!$1:$1048576,2,0)</f>
        <v>RJ14GT9975</v>
      </c>
      <c r="F170" s="17">
        <f>VLOOKUP(E170,DISTANCE!$1:$1048576,2,0)</f>
        <v>0.30277777777777776</v>
      </c>
      <c r="G170" s="17">
        <f>VLOOKUP(E170,DISTANCE!$1:$1048576,3,0)</f>
        <v>0.52152777777777781</v>
      </c>
      <c r="H170" s="18">
        <f>VLOOKUP(E170,DISTANCE!$1:$1048576,4,0)</f>
        <v>0.21844907407407407</v>
      </c>
      <c r="I170" s="7">
        <f>VLOOKUP(E170,DISTANCE!$1:$1048576,5,0)</f>
        <v>14.62</v>
      </c>
    </row>
    <row r="171" spans="1:9" x14ac:dyDescent="0.25">
      <c r="A171" t="s">
        <v>255</v>
      </c>
      <c r="B171" s="8">
        <v>19</v>
      </c>
      <c r="C171" s="7" t="s">
        <v>742</v>
      </c>
      <c r="D171" s="7" t="s">
        <v>457</v>
      </c>
      <c r="E171" s="6" t="str">
        <f>VLOOKUP(A171,COV!$1:$1048576,2,0)</f>
        <v>RJ14GT8966</v>
      </c>
      <c r="F171" s="17">
        <f>VLOOKUP(E171,DISTANCE!$1:$1048576,2,0)</f>
        <v>0.23680555555555555</v>
      </c>
      <c r="G171" s="17">
        <f>VLOOKUP(E171,DISTANCE!$1:$1048576,3,0)</f>
        <v>0.46250000000000002</v>
      </c>
      <c r="H171" s="18">
        <f>VLOOKUP(E171,DISTANCE!$1:$1048576,4,0)</f>
        <v>0.22537037037037036</v>
      </c>
      <c r="I171" s="7">
        <f>VLOOKUP(E171,DISTANCE!$1:$1048576,5,0)</f>
        <v>25.09</v>
      </c>
    </row>
    <row r="172" spans="1:9" x14ac:dyDescent="0.25">
      <c r="A172" t="s">
        <v>306</v>
      </c>
      <c r="B172" s="8">
        <v>20</v>
      </c>
      <c r="C172" s="7" t="s">
        <v>742</v>
      </c>
      <c r="D172" s="7" t="s">
        <v>457</v>
      </c>
      <c r="E172" s="6" t="str">
        <f>VLOOKUP(A172,COV!$1:$1048576,2,0)</f>
        <v>RJ14GU0636</v>
      </c>
      <c r="F172" s="17">
        <f>VLOOKUP(E172,DISTANCE!$1:$1048576,2,0)</f>
        <v>0.28611111111111109</v>
      </c>
      <c r="G172" s="17">
        <f>VLOOKUP(E172,DISTANCE!$1:$1048576,3,0)</f>
        <v>0.50486111111111109</v>
      </c>
      <c r="H172" s="18">
        <f>VLOOKUP(E172,DISTANCE!$1:$1048576,4,0)</f>
        <v>0.21906249999999999</v>
      </c>
      <c r="I172" s="7">
        <f>VLOOKUP(E172,DISTANCE!$1:$1048576,5,0)</f>
        <v>14.64</v>
      </c>
    </row>
    <row r="173" spans="1:9" x14ac:dyDescent="0.25">
      <c r="A173" t="s">
        <v>256</v>
      </c>
      <c r="B173" s="8">
        <v>21</v>
      </c>
      <c r="C173" s="7" t="s">
        <v>742</v>
      </c>
      <c r="D173" s="7" t="s">
        <v>458</v>
      </c>
      <c r="E173" s="6" t="str">
        <f>VLOOKUP(A173,COV!$1:$1048576,2,0)</f>
        <v>RJ14GT9462</v>
      </c>
      <c r="F173" s="17">
        <f>VLOOKUP(E173,DISTANCE!$1:$1048576,2,0)</f>
        <v>0.30486111111111114</v>
      </c>
      <c r="G173" s="17">
        <f>VLOOKUP(E173,DISTANCE!$1:$1048576,3,0)</f>
        <v>0.5180555555555556</v>
      </c>
      <c r="H173" s="18">
        <f>VLOOKUP(E173,DISTANCE!$1:$1048576,4,0)</f>
        <v>0.21371527777777777</v>
      </c>
      <c r="I173" s="7">
        <f>VLOOKUP(E173,DISTANCE!$1:$1048576,5,0)</f>
        <v>11.37</v>
      </c>
    </row>
    <row r="174" spans="1:9" x14ac:dyDescent="0.25">
      <c r="A174" t="s">
        <v>266</v>
      </c>
      <c r="B174" s="8">
        <v>22</v>
      </c>
      <c r="C174" s="7" t="s">
        <v>742</v>
      </c>
      <c r="D174" s="7" t="s">
        <v>458</v>
      </c>
      <c r="E174" s="6" t="str">
        <f>VLOOKUP(A174,COV!$1:$1048576,2,0)</f>
        <v>RJ14GT9033</v>
      </c>
      <c r="F174" s="17">
        <f>VLOOKUP(E174,DISTANCE!$1:$1048576,2,0)</f>
        <v>0.29652777777777778</v>
      </c>
      <c r="G174" s="17">
        <f>VLOOKUP(E174,DISTANCE!$1:$1048576,3,0)</f>
        <v>0.49722222222222223</v>
      </c>
      <c r="H174" s="18">
        <f>VLOOKUP(E174,DISTANCE!$1:$1048576,4,0)</f>
        <v>0.20078703703703704</v>
      </c>
      <c r="I174" s="7">
        <f>VLOOKUP(E174,DISTANCE!$1:$1048576,5,0)</f>
        <v>21.83</v>
      </c>
    </row>
    <row r="175" spans="1:9" x14ac:dyDescent="0.25">
      <c r="A175" t="s">
        <v>241</v>
      </c>
      <c r="B175" s="8">
        <v>23</v>
      </c>
      <c r="C175" s="7" t="s">
        <v>742</v>
      </c>
      <c r="D175" s="7" t="s">
        <v>459</v>
      </c>
      <c r="E175" s="6" t="str">
        <f>VLOOKUP(A175,COV!$1:$1048576,2,0)</f>
        <v>RJ14GT8853</v>
      </c>
      <c r="F175" s="17">
        <f>VLOOKUP(E175,DISTANCE!$1:$1048576,2,0)</f>
        <v>0.30694444444444446</v>
      </c>
      <c r="G175" s="17">
        <f>VLOOKUP(E175,DISTANCE!$1:$1048576,3,0)</f>
        <v>0.48819444444444443</v>
      </c>
      <c r="H175" s="18">
        <f>VLOOKUP(E175,DISTANCE!$1:$1048576,4,0)</f>
        <v>0.18131944444444445</v>
      </c>
      <c r="I175" s="7">
        <f>VLOOKUP(E175,DISTANCE!$1:$1048576,5,0)</f>
        <v>21.43</v>
      </c>
    </row>
    <row r="176" spans="1:9" x14ac:dyDescent="0.25">
      <c r="A176" t="s">
        <v>276</v>
      </c>
      <c r="B176" s="8">
        <v>24</v>
      </c>
      <c r="C176" s="7" t="s">
        <v>742</v>
      </c>
      <c r="D176" s="7" t="s">
        <v>459</v>
      </c>
      <c r="E176" s="6" t="str">
        <f>VLOOKUP(A176,COV!$1:$1048576,2,0)</f>
        <v>RJ14GT8161</v>
      </c>
      <c r="F176" s="17">
        <f>VLOOKUP(E176,DISTANCE!$1:$1048576,2,0)</f>
        <v>0.26874999999999999</v>
      </c>
      <c r="G176" s="17">
        <f>VLOOKUP(E176,DISTANCE!$1:$1048576,3,0)</f>
        <v>0.39027777777777778</v>
      </c>
      <c r="H176" s="18">
        <f>VLOOKUP(E176,DISTANCE!$1:$1048576,4,0)</f>
        <v>0.12150462962962963</v>
      </c>
      <c r="I176" s="7">
        <f>VLOOKUP(E176,DISTANCE!$1:$1048576,5,0)</f>
        <v>7.99</v>
      </c>
    </row>
    <row r="177" spans="1:9" x14ac:dyDescent="0.25">
      <c r="A177" t="s">
        <v>257</v>
      </c>
      <c r="B177" s="8">
        <v>25</v>
      </c>
      <c r="C177" s="7" t="s">
        <v>742</v>
      </c>
      <c r="D177" s="7" t="s">
        <v>460</v>
      </c>
      <c r="E177" s="6" t="str">
        <f>VLOOKUP(A177,COV!$1:$1048576,2,0)</f>
        <v>RJ14GT8162</v>
      </c>
      <c r="F177" s="17">
        <f>VLOOKUP(E177,DISTANCE!$1:$1048576,2,0)</f>
        <v>0.28888888888888886</v>
      </c>
      <c r="G177" s="17">
        <f>VLOOKUP(E177,DISTANCE!$1:$1048576,3,0)</f>
        <v>0.5493055555555556</v>
      </c>
      <c r="H177" s="18">
        <f>VLOOKUP(E177,DISTANCE!$1:$1048576,4,0)</f>
        <v>0.26050925925925927</v>
      </c>
      <c r="I177" s="7">
        <f>VLOOKUP(E177,DISTANCE!$1:$1048576,5,0)</f>
        <v>26.74</v>
      </c>
    </row>
    <row r="178" spans="1:9" x14ac:dyDescent="0.25">
      <c r="A178" t="s">
        <v>272</v>
      </c>
      <c r="B178" s="8">
        <v>26</v>
      </c>
      <c r="C178" s="7" t="s">
        <v>742</v>
      </c>
      <c r="D178" s="7" t="s">
        <v>460</v>
      </c>
      <c r="E178" s="6" t="str">
        <f>VLOOKUP(A178,COV!$1:$1048576,2,0)</f>
        <v>RJ14GT9479</v>
      </c>
      <c r="F178" s="17">
        <f>VLOOKUP(E178,DISTANCE!$1:$1048576,2,0)</f>
        <v>0.28402777777777777</v>
      </c>
      <c r="G178" s="17">
        <f>VLOOKUP(E178,DISTANCE!$1:$1048576,3,0)</f>
        <v>0.4375</v>
      </c>
      <c r="H178" s="18">
        <f>VLOOKUP(E178,DISTANCE!$1:$1048576,4,0)</f>
        <v>0.15359953703703705</v>
      </c>
      <c r="I178" s="7">
        <f>VLOOKUP(E178,DISTANCE!$1:$1048576,5,0)</f>
        <v>28.25</v>
      </c>
    </row>
    <row r="179" spans="1:9" x14ac:dyDescent="0.25">
      <c r="A179" t="s">
        <v>239</v>
      </c>
      <c r="B179" s="8">
        <v>27</v>
      </c>
      <c r="C179" s="7" t="s">
        <v>742</v>
      </c>
      <c r="D179" s="7" t="s">
        <v>461</v>
      </c>
      <c r="E179" s="6" t="str">
        <f>VLOOKUP(A179,COV!$1:$1048576,2,0)</f>
        <v>RJ14GT9486</v>
      </c>
      <c r="F179" s="17">
        <f>VLOOKUP(E179,DISTANCE!$1:$1048576,2,0)</f>
        <v>0.28958333333333336</v>
      </c>
      <c r="G179" s="17">
        <f>VLOOKUP(E179,DISTANCE!$1:$1048576,3,0)</f>
        <v>0.54652777777777772</v>
      </c>
      <c r="H179" s="18">
        <f>VLOOKUP(E179,DISTANCE!$1:$1048576,4,0)</f>
        <v>0.25675925925925924</v>
      </c>
      <c r="I179" s="7">
        <f>VLOOKUP(E179,DISTANCE!$1:$1048576,5,0)</f>
        <v>32.43</v>
      </c>
    </row>
    <row r="180" spans="1:9" x14ac:dyDescent="0.25">
      <c r="A180" t="s">
        <v>267</v>
      </c>
      <c r="B180" s="8">
        <v>28</v>
      </c>
      <c r="C180" s="7" t="s">
        <v>742</v>
      </c>
      <c r="D180" s="7" t="s">
        <v>461</v>
      </c>
      <c r="E180" s="6" t="str">
        <f>VLOOKUP(A180,COV!$1:$1048576,2,0)</f>
        <v>RJ14GT8910</v>
      </c>
      <c r="F180" s="17">
        <f>VLOOKUP(E180,DISTANCE!$1:$1048576,2,0)</f>
        <v>0.25</v>
      </c>
      <c r="G180" s="17">
        <f>VLOOKUP(E180,DISTANCE!$1:$1048576,3,0)</f>
        <v>0.51041666666666663</v>
      </c>
      <c r="H180" s="18">
        <f>VLOOKUP(E180,DISTANCE!$1:$1048576,4,0)</f>
        <v>0.26070601851851855</v>
      </c>
      <c r="I180" s="7">
        <f>VLOOKUP(E180,DISTANCE!$1:$1048576,5,0)</f>
        <v>19.89</v>
      </c>
    </row>
    <row r="181" spans="1:9" x14ac:dyDescent="0.25">
      <c r="A181" t="s">
        <v>207</v>
      </c>
      <c r="B181" s="8">
        <v>29</v>
      </c>
      <c r="C181" s="7" t="s">
        <v>742</v>
      </c>
      <c r="D181" s="7" t="s">
        <v>462</v>
      </c>
      <c r="E181" s="6" t="str">
        <f>VLOOKUP(A181,COV!$1:$1048576,2,0)</f>
        <v>RJ14GT8972</v>
      </c>
      <c r="F181" s="17">
        <f>VLOOKUP(E181,DISTANCE!$1:$1048576,2,0)</f>
        <v>0.28611111111111109</v>
      </c>
      <c r="G181" s="17">
        <f>VLOOKUP(E181,DISTANCE!$1:$1048576,3,0)</f>
        <v>0.45</v>
      </c>
      <c r="H181" s="18">
        <f>VLOOKUP(E181,DISTANCE!$1:$1048576,4,0)</f>
        <v>0.16390046296296296</v>
      </c>
      <c r="I181" s="7">
        <f>VLOOKUP(E181,DISTANCE!$1:$1048576,5,0)</f>
        <v>26.48</v>
      </c>
    </row>
    <row r="182" spans="1:9" x14ac:dyDescent="0.25">
      <c r="A182" t="s">
        <v>234</v>
      </c>
      <c r="B182" s="8">
        <v>30</v>
      </c>
      <c r="C182" s="7" t="s">
        <v>742</v>
      </c>
      <c r="D182" s="7" t="s">
        <v>462</v>
      </c>
      <c r="E182" s="6" t="str">
        <f>VLOOKUP(A182,COV!$1:$1048576,2,0)</f>
        <v>RJ14GT9452</v>
      </c>
      <c r="F182" s="17">
        <f>VLOOKUP(E182,DISTANCE!$1:$1048576,2,0)</f>
        <v>0.2902777777777778</v>
      </c>
      <c r="G182" s="17">
        <f>VLOOKUP(E182,DISTANCE!$1:$1048576,3,0)</f>
        <v>0.49305555555555558</v>
      </c>
      <c r="H182" s="18">
        <f>VLOOKUP(E182,DISTANCE!$1:$1048576,4,0)</f>
        <v>0.20256944444444444</v>
      </c>
      <c r="I182" s="7">
        <f>VLOOKUP(E182,DISTANCE!$1:$1048576,5,0)</f>
        <v>17.440000000000001</v>
      </c>
    </row>
    <row r="183" spans="1:9" x14ac:dyDescent="0.25">
      <c r="A183" t="s">
        <v>235</v>
      </c>
      <c r="B183" s="8">
        <v>31</v>
      </c>
      <c r="C183" s="7" t="s">
        <v>742</v>
      </c>
      <c r="D183" s="7" t="s">
        <v>463</v>
      </c>
      <c r="E183" s="6" t="str">
        <f>VLOOKUP(A183,COV!$1:$1048576,2,0)</f>
        <v>RJ14GT9024</v>
      </c>
      <c r="F183" s="17">
        <f>VLOOKUP(E183,DISTANCE!$1:$1048576,2,0)</f>
        <v>0.28472222222222221</v>
      </c>
      <c r="G183" s="17">
        <f>VLOOKUP(E183,DISTANCE!$1:$1048576,3,0)</f>
        <v>0.46875</v>
      </c>
      <c r="H183" s="18">
        <f>VLOOKUP(E183,DISTANCE!$1:$1048576,4,0)</f>
        <v>0.18460648148148148</v>
      </c>
      <c r="I183" s="7">
        <f>VLOOKUP(E183,DISTANCE!$1:$1048576,5,0)</f>
        <v>18.649999999999999</v>
      </c>
    </row>
    <row r="184" spans="1:9" x14ac:dyDescent="0.25">
      <c r="A184" t="s">
        <v>271</v>
      </c>
      <c r="B184" s="8">
        <v>32</v>
      </c>
      <c r="C184" s="7" t="s">
        <v>742</v>
      </c>
      <c r="D184" s="7" t="s">
        <v>463</v>
      </c>
      <c r="E184" s="6" t="str">
        <f>VLOOKUP(A184,COV!$1:$1048576,2,0)</f>
        <v>RJ14GT8922</v>
      </c>
      <c r="F184" s="17">
        <f>VLOOKUP(E184,DISTANCE!$1:$1048576,2,0)</f>
        <v>0.27291666666666664</v>
      </c>
      <c r="G184" s="17">
        <f>VLOOKUP(E184,DISTANCE!$1:$1048576,3,0)</f>
        <v>0.45277777777777778</v>
      </c>
      <c r="H184" s="18">
        <f>VLOOKUP(E184,DISTANCE!$1:$1048576,4,0)</f>
        <v>0.1802199074074074</v>
      </c>
      <c r="I184" s="7">
        <f>VLOOKUP(E184,DISTANCE!$1:$1048576,5,0)</f>
        <v>29.86</v>
      </c>
    </row>
    <row r="185" spans="1:9" x14ac:dyDescent="0.25">
      <c r="A185" t="s">
        <v>279</v>
      </c>
      <c r="B185" s="8">
        <v>33</v>
      </c>
      <c r="C185" s="7" t="s">
        <v>742</v>
      </c>
      <c r="D185" s="7" t="s">
        <v>464</v>
      </c>
      <c r="E185" s="6" t="str">
        <f>VLOOKUP(A185,COV!$1:$1048576,2,0)</f>
        <v>RJ14GT9469</v>
      </c>
      <c r="F185" s="17">
        <f>VLOOKUP(E185,DISTANCE!$1:$1048576,2,0)</f>
        <v>0.2673611111111111</v>
      </c>
      <c r="G185" s="17">
        <f>VLOOKUP(E185,DISTANCE!$1:$1048576,3,0)</f>
        <v>0.46944444444444444</v>
      </c>
      <c r="H185" s="18">
        <f>VLOOKUP(E185,DISTANCE!$1:$1048576,4,0)</f>
        <v>0.20252314814814815</v>
      </c>
      <c r="I185" s="7">
        <f>VLOOKUP(E185,DISTANCE!$1:$1048576,5,0)</f>
        <v>24.82</v>
      </c>
    </row>
    <row r="186" spans="1:9" x14ac:dyDescent="0.25">
      <c r="A186" t="s">
        <v>287</v>
      </c>
      <c r="B186" s="8">
        <v>34</v>
      </c>
      <c r="C186" s="7" t="s">
        <v>742</v>
      </c>
      <c r="D186" s="7" t="s">
        <v>464</v>
      </c>
      <c r="E186" s="6" t="str">
        <f>VLOOKUP(A186,COV!$1:$1048576,2,0)</f>
        <v>RJ14GT8927</v>
      </c>
      <c r="F186" s="17">
        <f>VLOOKUP(E186,DISTANCE!$1:$1048576,2,0)</f>
        <v>0.24027777777777778</v>
      </c>
      <c r="G186" s="17">
        <f>VLOOKUP(E186,DISTANCE!$1:$1048576,3,0)</f>
        <v>0.40694444444444444</v>
      </c>
      <c r="H186" s="18">
        <f>VLOOKUP(E186,DISTANCE!$1:$1048576,4,0)</f>
        <v>0.16633101851851853</v>
      </c>
      <c r="I186" s="7">
        <f>VLOOKUP(E186,DISTANCE!$1:$1048576,5,0)</f>
        <v>36.69</v>
      </c>
    </row>
    <row r="187" spans="1:9" x14ac:dyDescent="0.25">
      <c r="A187" t="s">
        <v>261</v>
      </c>
      <c r="B187" s="8">
        <v>35</v>
      </c>
      <c r="C187" s="7" t="s">
        <v>742</v>
      </c>
      <c r="D187" s="7" t="s">
        <v>465</v>
      </c>
      <c r="E187" s="6" t="str">
        <f>VLOOKUP(A187,COV!$1:$1048576,2,0)</f>
        <v>RJ14GT9039</v>
      </c>
      <c r="F187" s="17">
        <f>VLOOKUP(E187,DISTANCE!$1:$1048576,2,0)</f>
        <v>0.30763888888888891</v>
      </c>
      <c r="G187" s="17">
        <f>VLOOKUP(E187,DISTANCE!$1:$1048576,3,0)</f>
        <v>0.49583333333333335</v>
      </c>
      <c r="H187" s="18">
        <f>VLOOKUP(E187,DISTANCE!$1:$1048576,4,0)</f>
        <v>0.18812499999999999</v>
      </c>
      <c r="I187" s="7">
        <f>VLOOKUP(E187,DISTANCE!$1:$1048576,5,0)</f>
        <v>31.76</v>
      </c>
    </row>
    <row r="188" spans="1:9" x14ac:dyDescent="0.25">
      <c r="A188" t="s">
        <v>278</v>
      </c>
      <c r="B188" s="8">
        <v>36</v>
      </c>
      <c r="C188" s="7" t="s">
        <v>742</v>
      </c>
      <c r="D188" s="7" t="s">
        <v>465</v>
      </c>
      <c r="E188" s="6" t="str">
        <f>VLOOKUP(A188,COV!$1:$1048576,2,0)</f>
        <v>RJ14GT9027</v>
      </c>
      <c r="F188" s="17">
        <f>VLOOKUP(E188,DISTANCE!$1:$1048576,2,0)</f>
        <v>0.29722222222222222</v>
      </c>
      <c r="G188" s="17">
        <f>VLOOKUP(E188,DISTANCE!$1:$1048576,3,0)</f>
        <v>0.46250000000000002</v>
      </c>
      <c r="H188" s="18">
        <f>VLOOKUP(E188,DISTANCE!$1:$1048576,4,0)</f>
        <v>0.16524305555555555</v>
      </c>
      <c r="I188" s="7">
        <f>VLOOKUP(E188,DISTANCE!$1:$1048576,5,0)</f>
        <v>20.11</v>
      </c>
    </row>
    <row r="189" spans="1:9" x14ac:dyDescent="0.25">
      <c r="A189" t="s">
        <v>220</v>
      </c>
      <c r="B189" s="8">
        <v>37</v>
      </c>
      <c r="C189" s="7" t="s">
        <v>742</v>
      </c>
      <c r="D189" s="7" t="s">
        <v>466</v>
      </c>
      <c r="E189" s="6" t="str">
        <f>VLOOKUP(A189,COV!$1:$1048576,2,0)</f>
        <v>RJ14GT8932</v>
      </c>
      <c r="F189" s="17">
        <f>VLOOKUP(E189,DISTANCE!$1:$1048576,2,0)</f>
        <v>0.26111111111111113</v>
      </c>
      <c r="G189" s="17">
        <f>VLOOKUP(E189,DISTANCE!$1:$1048576,3,0)</f>
        <v>0.50555555555555554</v>
      </c>
      <c r="H189" s="18">
        <f>VLOOKUP(E189,DISTANCE!$1:$1048576,4,0)</f>
        <v>0.24444444444444444</v>
      </c>
      <c r="I189" s="7">
        <f>VLOOKUP(E189,DISTANCE!$1:$1048576,5,0)</f>
        <v>19.260000000000002</v>
      </c>
    </row>
    <row r="190" spans="1:9" x14ac:dyDescent="0.25">
      <c r="A190" t="s">
        <v>307</v>
      </c>
      <c r="B190" s="8">
        <v>38</v>
      </c>
      <c r="C190" s="7" t="s">
        <v>742</v>
      </c>
      <c r="D190" s="7" t="s">
        <v>466</v>
      </c>
      <c r="E190" s="6" t="str">
        <f>VLOOKUP(A190,COV!$1:$1048576,2,0)</f>
        <v>RJ14GT8926</v>
      </c>
      <c r="F190" s="17">
        <f>VLOOKUP(E190,DISTANCE!$1:$1048576,2,0)</f>
        <v>0.26527777777777778</v>
      </c>
      <c r="G190" s="17">
        <f>VLOOKUP(E190,DISTANCE!$1:$1048576,3,0)</f>
        <v>0.6381944444444444</v>
      </c>
      <c r="H190" s="18">
        <f>VLOOKUP(E190,DISTANCE!$1:$1048576,4,0)</f>
        <v>0.37339120370370371</v>
      </c>
      <c r="I190" s="7">
        <f>VLOOKUP(E190,DISTANCE!$1:$1048576,5,0)</f>
        <v>36.020000000000003</v>
      </c>
    </row>
    <row r="191" spans="1:9" x14ac:dyDescent="0.25">
      <c r="A191" t="s">
        <v>208</v>
      </c>
      <c r="B191" s="8">
        <v>39</v>
      </c>
      <c r="C191" s="7" t="s">
        <v>742</v>
      </c>
      <c r="D191" s="7" t="s">
        <v>467</v>
      </c>
      <c r="E191" s="6" t="str">
        <f>VLOOKUP(A191,COV!$1:$1048576,2,0)</f>
        <v>RJ14GT9029</v>
      </c>
      <c r="F191" s="17">
        <f>VLOOKUP(E191,DISTANCE!$1:$1048576,2,0)</f>
        <v>0.25347222222222221</v>
      </c>
      <c r="G191" s="17">
        <f>VLOOKUP(E191,DISTANCE!$1:$1048576,3,0)</f>
        <v>0.42152777777777778</v>
      </c>
      <c r="H191" s="18">
        <f>VLOOKUP(E191,DISTANCE!$1:$1048576,4,0)</f>
        <v>0.16755787037037037</v>
      </c>
      <c r="I191" s="7">
        <f>VLOOKUP(E191,DISTANCE!$1:$1048576,5,0)</f>
        <v>19.72</v>
      </c>
    </row>
    <row r="192" spans="1:9" x14ac:dyDescent="0.25">
      <c r="A192" t="s">
        <v>283</v>
      </c>
      <c r="B192" s="8">
        <v>40</v>
      </c>
      <c r="C192" s="7" t="s">
        <v>742</v>
      </c>
      <c r="D192" s="7" t="s">
        <v>467</v>
      </c>
      <c r="E192" s="6" t="str">
        <f>VLOOKUP(A192,COV!$1:$1048576,2,0)</f>
        <v>RJ14GT9473</v>
      </c>
      <c r="F192" s="17">
        <f>VLOOKUP(E192,DISTANCE!$1:$1048576,2,0)</f>
        <v>0.28125</v>
      </c>
      <c r="G192" s="17">
        <f>VLOOKUP(E192,DISTANCE!$1:$1048576,3,0)</f>
        <v>0.50416666666666665</v>
      </c>
      <c r="H192" s="18">
        <f>VLOOKUP(E192,DISTANCE!$1:$1048576,4,0)</f>
        <v>0.22351851851851851</v>
      </c>
      <c r="I192" s="7">
        <f>VLOOKUP(E192,DISTANCE!$1:$1048576,5,0)</f>
        <v>28.67</v>
      </c>
    </row>
    <row r="193" spans="1:9" x14ac:dyDescent="0.25">
      <c r="A193" t="s">
        <v>274</v>
      </c>
      <c r="B193" s="8">
        <v>41</v>
      </c>
      <c r="C193" s="7" t="s">
        <v>742</v>
      </c>
      <c r="D193" s="7" t="s">
        <v>468</v>
      </c>
      <c r="E193" s="6" t="str">
        <f>VLOOKUP(A193,COV!$1:$1048576,2,0)</f>
        <v>RJ14GT8974</v>
      </c>
      <c r="F193" s="17">
        <f>VLOOKUP(E193,DISTANCE!$1:$1048576,2,0)</f>
        <v>0.29583333333333334</v>
      </c>
      <c r="G193" s="17">
        <f>VLOOKUP(E193,DISTANCE!$1:$1048576,3,0)</f>
        <v>0.54652777777777772</v>
      </c>
      <c r="H193" s="18">
        <f>VLOOKUP(E193,DISTANCE!$1:$1048576,4,0)</f>
        <v>0.25047453703703704</v>
      </c>
      <c r="I193" s="7">
        <f>VLOOKUP(E193,DISTANCE!$1:$1048576,5,0)</f>
        <v>31.37</v>
      </c>
    </row>
    <row r="194" spans="1:9" x14ac:dyDescent="0.25">
      <c r="A194" t="s">
        <v>277</v>
      </c>
      <c r="B194" s="8">
        <v>42</v>
      </c>
      <c r="C194" s="7" t="s">
        <v>742</v>
      </c>
      <c r="D194" s="7" t="s">
        <v>468</v>
      </c>
      <c r="E194" s="6" t="str">
        <f>VLOOKUP(A194,COV!$1:$1048576,2,0)</f>
        <v>RJ14GT8960</v>
      </c>
      <c r="F194" s="17">
        <f>VLOOKUP(E194,DISTANCE!$1:$1048576,2,0)</f>
        <v>0.21597222222222223</v>
      </c>
      <c r="G194" s="17">
        <f>VLOOKUP(E194,DISTANCE!$1:$1048576,3,0)</f>
        <v>0.66180555555555554</v>
      </c>
      <c r="H194" s="18">
        <f>VLOOKUP(E194,DISTANCE!$1:$1048576,4,0)</f>
        <v>0.44605324074074076</v>
      </c>
      <c r="I194" s="7">
        <f>VLOOKUP(E194,DISTANCE!$1:$1048576,5,0)</f>
        <v>43.14</v>
      </c>
    </row>
    <row r="195" spans="1:9" x14ac:dyDescent="0.25">
      <c r="A195" t="s">
        <v>146</v>
      </c>
      <c r="B195" s="8">
        <v>1</v>
      </c>
      <c r="C195" s="7" t="s">
        <v>743</v>
      </c>
      <c r="D195" s="7" t="s">
        <v>13</v>
      </c>
      <c r="E195" s="6" t="str">
        <f>VLOOKUP(A195,COV!$1:$1048576,2,0)</f>
        <v>RJ47GA7242</v>
      </c>
      <c r="F195" s="17">
        <f>VLOOKUP(E195,DISTANCE!$1:$1048576,2,0)</f>
        <v>0.27291666666666664</v>
      </c>
      <c r="G195" s="17">
        <f>VLOOKUP(E195,DISTANCE!$1:$1048576,3,0)</f>
        <v>0.41388888888888886</v>
      </c>
      <c r="H195" s="18">
        <f>VLOOKUP(E195,DISTANCE!$1:$1048576,4,0)</f>
        <v>0.14070601851851852</v>
      </c>
      <c r="I195" s="7">
        <f>VLOOKUP(E195,DISTANCE!$1:$1048576,5,0)</f>
        <v>14.65</v>
      </c>
    </row>
    <row r="196" spans="1:9" x14ac:dyDescent="0.25">
      <c r="A196" t="s">
        <v>147</v>
      </c>
      <c r="B196" s="8">
        <v>2</v>
      </c>
      <c r="C196" s="7" t="s">
        <v>743</v>
      </c>
      <c r="D196" s="7" t="s">
        <v>13</v>
      </c>
      <c r="E196" s="6" t="str">
        <f>VLOOKUP(A196,COV!$1:$1048576,2,0)</f>
        <v>RJ47GA7293</v>
      </c>
      <c r="F196" s="17">
        <f>VLOOKUP(E196,DISTANCE!$1:$1048576,2,0)</f>
        <v>0.28472222222222221</v>
      </c>
      <c r="G196" s="17">
        <f>VLOOKUP(E196,DISTANCE!$1:$1048576,3,0)</f>
        <v>0.42916666666666664</v>
      </c>
      <c r="H196" s="18">
        <f>VLOOKUP(E196,DISTANCE!$1:$1048576,4,0)</f>
        <v>0.14403935185185185</v>
      </c>
      <c r="I196" s="7">
        <f>VLOOKUP(E196,DISTANCE!$1:$1048576,5,0)</f>
        <v>18.75</v>
      </c>
    </row>
    <row r="197" spans="1:9" x14ac:dyDescent="0.25">
      <c r="A197" t="s">
        <v>148</v>
      </c>
      <c r="B197" s="8">
        <v>3</v>
      </c>
      <c r="C197" s="7" t="s">
        <v>743</v>
      </c>
      <c r="D197" s="7" t="s">
        <v>13</v>
      </c>
      <c r="E197" s="6" t="str">
        <f>VLOOKUP(A197,COV!$1:$1048576,2,0)</f>
        <v>RJ47GA7227</v>
      </c>
      <c r="F197" s="17">
        <f>VLOOKUP(E197,DISTANCE!$1:$1048576,2,0)</f>
        <v>0.29444444444444445</v>
      </c>
      <c r="G197" s="17">
        <f>VLOOKUP(E197,DISTANCE!$1:$1048576,3,0)</f>
        <v>0.57013888888888886</v>
      </c>
      <c r="H197" s="18">
        <f>VLOOKUP(E197,DISTANCE!$1:$1048576,4,0)</f>
        <v>0.2761689814814815</v>
      </c>
      <c r="I197" s="7">
        <f>VLOOKUP(E197,DISTANCE!$1:$1048576,5,0)</f>
        <v>21.08</v>
      </c>
    </row>
    <row r="198" spans="1:9" x14ac:dyDescent="0.25">
      <c r="A198" t="s">
        <v>149</v>
      </c>
      <c r="B198" s="8">
        <v>4</v>
      </c>
      <c r="C198" s="7" t="s">
        <v>743</v>
      </c>
      <c r="D198" s="7" t="s">
        <v>42</v>
      </c>
      <c r="E198" s="6" t="str">
        <f>VLOOKUP(A198,COV!$1:$1048576,2,0)</f>
        <v>RJ47GA7188</v>
      </c>
      <c r="F198" s="17">
        <f>VLOOKUP(E198,DISTANCE!$1:$1048576,2,0)</f>
        <v>6.9444444444444447E-4</v>
      </c>
      <c r="G198" s="17">
        <f>VLOOKUP(E198,DISTANCE!$1:$1048576,3,0)</f>
        <v>0.66041666666666665</v>
      </c>
      <c r="H198" s="18">
        <f>VLOOKUP(E198,DISTANCE!$1:$1048576,4,0)</f>
        <v>0.6595833333333333</v>
      </c>
      <c r="I198" s="7">
        <f>VLOOKUP(E198,DISTANCE!$1:$1048576,5,0)</f>
        <v>19.87</v>
      </c>
    </row>
    <row r="199" spans="1:9" x14ac:dyDescent="0.25">
      <c r="A199" t="s">
        <v>150</v>
      </c>
      <c r="B199" s="8">
        <v>5</v>
      </c>
      <c r="C199" s="7" t="s">
        <v>743</v>
      </c>
      <c r="D199" s="7" t="s">
        <v>42</v>
      </c>
      <c r="E199" s="6" t="str">
        <f>VLOOKUP(A199,COV!$1:$1048576,2,0)</f>
        <v>RJ47GA7177</v>
      </c>
      <c r="F199" s="17">
        <f>VLOOKUP(E199,DISTANCE!$1:$1048576,2,0)</f>
        <v>0</v>
      </c>
      <c r="G199" s="17">
        <f>VLOOKUP(E199,DISTANCE!$1:$1048576,3,0)</f>
        <v>0.51666666666666672</v>
      </c>
      <c r="H199" s="18">
        <f>VLOOKUP(E199,DISTANCE!$1:$1048576,4,0)</f>
        <v>0.51688657407407412</v>
      </c>
      <c r="I199" s="7">
        <f>VLOOKUP(E199,DISTANCE!$1:$1048576,5,0)</f>
        <v>46.87</v>
      </c>
    </row>
    <row r="200" spans="1:9" x14ac:dyDescent="0.25">
      <c r="A200" t="s">
        <v>151</v>
      </c>
      <c r="B200" s="8">
        <v>6</v>
      </c>
      <c r="C200" s="7" t="s">
        <v>743</v>
      </c>
      <c r="D200" s="7" t="s">
        <v>67</v>
      </c>
      <c r="E200" s="6" t="str">
        <f>VLOOKUP(A200,COV!$1:$1048576,2,0)</f>
        <v>RJ47GA7236</v>
      </c>
      <c r="F200" s="17">
        <f>VLOOKUP(E200,DISTANCE!$1:$1048576,2,0)</f>
        <v>0.11388888888888889</v>
      </c>
      <c r="G200" s="17">
        <f>VLOOKUP(E200,DISTANCE!$1:$1048576,3,0)</f>
        <v>0.45277777777777778</v>
      </c>
      <c r="H200" s="18">
        <f>VLOOKUP(E200,DISTANCE!$1:$1048576,4,0)</f>
        <v>0.33862268518518518</v>
      </c>
      <c r="I200" s="7">
        <f>VLOOKUP(E200,DISTANCE!$1:$1048576,5,0)</f>
        <v>18.12</v>
      </c>
    </row>
    <row r="201" spans="1:9" x14ac:dyDescent="0.25">
      <c r="A201" t="s">
        <v>152</v>
      </c>
      <c r="B201" s="8">
        <v>7</v>
      </c>
      <c r="C201" s="7" t="s">
        <v>743</v>
      </c>
      <c r="D201" s="7" t="s">
        <v>67</v>
      </c>
      <c r="E201" s="6" t="str">
        <f>VLOOKUP(A201,COV!$1:$1048576,2,0)</f>
        <v>RJ47GA7170</v>
      </c>
      <c r="F201" s="17">
        <f>VLOOKUP(E201,DISTANCE!$1:$1048576,2,0)</f>
        <v>3.472222222222222E-3</v>
      </c>
      <c r="G201" s="17">
        <f>VLOOKUP(E201,DISTANCE!$1:$1048576,3,0)</f>
        <v>0.65763888888888888</v>
      </c>
      <c r="H201" s="18">
        <f>VLOOKUP(E201,DISTANCE!$1:$1048576,4,0)</f>
        <v>0.65422453703703709</v>
      </c>
      <c r="I201" s="7">
        <f>VLOOKUP(E201,DISTANCE!$1:$1048576,5,0)</f>
        <v>22.33</v>
      </c>
    </row>
    <row r="202" spans="1:9" x14ac:dyDescent="0.25">
      <c r="A202" t="s">
        <v>153</v>
      </c>
      <c r="B202" s="8">
        <v>8</v>
      </c>
      <c r="C202" s="7" t="s">
        <v>743</v>
      </c>
      <c r="D202" s="7" t="s">
        <v>67</v>
      </c>
      <c r="E202" s="6" t="str">
        <f>VLOOKUP(A202,COV!$1:$1048576,2,0)</f>
        <v>RJ47GA7198</v>
      </c>
      <c r="F202" s="17">
        <f>VLOOKUP(E202,DISTANCE!$1:$1048576,2,0)</f>
        <v>0.31319444444444444</v>
      </c>
      <c r="G202" s="17">
        <f>VLOOKUP(E202,DISTANCE!$1:$1048576,3,0)</f>
        <v>0.47222222222222221</v>
      </c>
      <c r="H202" s="18">
        <f>VLOOKUP(E202,DISTANCE!$1:$1048576,4,0)</f>
        <v>0.15907407407407406</v>
      </c>
      <c r="I202" s="7">
        <f>VLOOKUP(E202,DISTANCE!$1:$1048576,5,0)</f>
        <v>25.78</v>
      </c>
    </row>
    <row r="203" spans="1:9" x14ac:dyDescent="0.25">
      <c r="A203" t="s">
        <v>154</v>
      </c>
      <c r="B203" s="8">
        <v>9</v>
      </c>
      <c r="C203" s="7" t="s">
        <v>743</v>
      </c>
      <c r="D203" s="7" t="s">
        <v>71</v>
      </c>
      <c r="E203" s="6" t="str">
        <f>VLOOKUP(A203,COV!$1:$1048576,2,0)</f>
        <v>RJ47GA7279</v>
      </c>
      <c r="F203" s="17">
        <f>VLOOKUP(E203,DISTANCE!$1:$1048576,2,0)</f>
        <v>0.29444444444444445</v>
      </c>
      <c r="G203" s="17">
        <f>VLOOKUP(E203,DISTANCE!$1:$1048576,3,0)</f>
        <v>0.59236111111111112</v>
      </c>
      <c r="H203" s="18">
        <f>VLOOKUP(E203,DISTANCE!$1:$1048576,4,0)</f>
        <v>0.29812499999999997</v>
      </c>
      <c r="I203" s="7">
        <f>VLOOKUP(E203,DISTANCE!$1:$1048576,5,0)</f>
        <v>36.9</v>
      </c>
    </row>
    <row r="204" spans="1:9" x14ac:dyDescent="0.25">
      <c r="A204" t="s">
        <v>155</v>
      </c>
      <c r="B204" s="8">
        <v>10</v>
      </c>
      <c r="C204" s="7" t="s">
        <v>743</v>
      </c>
      <c r="D204" s="7" t="s">
        <v>71</v>
      </c>
      <c r="E204" s="6" t="str">
        <f>VLOOKUP(A204,COV!$1:$1048576,2,0)</f>
        <v>RJ47GA7200</v>
      </c>
      <c r="F204" s="17">
        <f>VLOOKUP(E204,DISTANCE!$1:$1048576,2,0)</f>
        <v>0.29305555555555557</v>
      </c>
      <c r="G204" s="17">
        <f>VLOOKUP(E204,DISTANCE!$1:$1048576,3,0)</f>
        <v>0.65555555555555556</v>
      </c>
      <c r="H204" s="18">
        <f>VLOOKUP(E204,DISTANCE!$1:$1048576,4,0)</f>
        <v>0.3621875</v>
      </c>
      <c r="I204" s="7">
        <f>VLOOKUP(E204,DISTANCE!$1:$1048576,5,0)</f>
        <v>32.65</v>
      </c>
    </row>
    <row r="205" spans="1:9" x14ac:dyDescent="0.25">
      <c r="A205" t="s">
        <v>156</v>
      </c>
      <c r="B205" s="8">
        <v>11</v>
      </c>
      <c r="C205" s="7" t="s">
        <v>743</v>
      </c>
      <c r="D205" s="7" t="s">
        <v>27</v>
      </c>
      <c r="E205" s="6" t="str">
        <f>VLOOKUP(A205,COV!$1:$1048576,2,0)</f>
        <v>RJ47GA7289</v>
      </c>
      <c r="F205" s="17" t="e">
        <f>VLOOKUP(E205,DISTANCE!$1:$1048576,2,0)</f>
        <v>#N/A</v>
      </c>
      <c r="G205" s="17" t="e">
        <f>VLOOKUP(E205,DISTANCE!$1:$1048576,3,0)</f>
        <v>#N/A</v>
      </c>
      <c r="H205" s="18" t="e">
        <f>VLOOKUP(E205,DISTANCE!$1:$1048576,4,0)</f>
        <v>#N/A</v>
      </c>
      <c r="I205" s="7" t="e">
        <f>VLOOKUP(E205,DISTANCE!$1:$1048576,5,0)</f>
        <v>#N/A</v>
      </c>
    </row>
    <row r="206" spans="1:9" x14ac:dyDescent="0.25">
      <c r="A206" t="s">
        <v>157</v>
      </c>
      <c r="B206" s="8">
        <v>12</v>
      </c>
      <c r="C206" s="7" t="s">
        <v>743</v>
      </c>
      <c r="D206" s="7" t="s">
        <v>27</v>
      </c>
      <c r="E206" s="6" t="str">
        <f>VLOOKUP(A206,COV!$1:$1048576,2,0)</f>
        <v>RJ47GA7335</v>
      </c>
      <c r="F206" s="17">
        <f>VLOOKUP(E206,DISTANCE!$1:$1048576,2,0)</f>
        <v>0.26597222222222222</v>
      </c>
      <c r="G206" s="17">
        <f>VLOOKUP(E206,DISTANCE!$1:$1048576,3,0)</f>
        <v>0.54027777777777775</v>
      </c>
      <c r="H206" s="18">
        <f>VLOOKUP(E206,DISTANCE!$1:$1048576,4,0)</f>
        <v>0.27429398148148149</v>
      </c>
      <c r="I206" s="7">
        <f>VLOOKUP(E206,DISTANCE!$1:$1048576,5,0)</f>
        <v>23.87</v>
      </c>
    </row>
    <row r="207" spans="1:9" x14ac:dyDescent="0.25">
      <c r="A207" t="s">
        <v>158</v>
      </c>
      <c r="B207" s="8">
        <v>13</v>
      </c>
      <c r="C207" s="7" t="s">
        <v>743</v>
      </c>
      <c r="D207" s="7" t="s">
        <v>38</v>
      </c>
      <c r="E207" s="6" t="str">
        <f>VLOOKUP(A207,COV!$1:$1048576,2,0)</f>
        <v>RJ47GA7282</v>
      </c>
      <c r="F207" s="17">
        <f>VLOOKUP(E207,DISTANCE!$1:$1048576,2,0)</f>
        <v>0.31111111111111112</v>
      </c>
      <c r="G207" s="17">
        <f>VLOOKUP(E207,DISTANCE!$1:$1048576,3,0)</f>
        <v>0.55277777777777781</v>
      </c>
      <c r="H207" s="18">
        <f>VLOOKUP(E207,DISTANCE!$1:$1048576,4,0)</f>
        <v>0.24158564814814815</v>
      </c>
      <c r="I207" s="7">
        <f>VLOOKUP(E207,DISTANCE!$1:$1048576,5,0)</f>
        <v>26.09</v>
      </c>
    </row>
    <row r="208" spans="1:9" x14ac:dyDescent="0.25">
      <c r="A208" t="s">
        <v>159</v>
      </c>
      <c r="B208" s="8">
        <v>14</v>
      </c>
      <c r="C208" s="7" t="s">
        <v>743</v>
      </c>
      <c r="D208" s="7" t="s">
        <v>38</v>
      </c>
      <c r="E208" s="6" t="str">
        <f>VLOOKUP(A208,COV!$1:$1048576,2,0)</f>
        <v>RJ47GA7191</v>
      </c>
      <c r="F208" s="17">
        <f>VLOOKUP(E208,DISTANCE!$1:$1048576,2,0)</f>
        <v>0.2902777777777778</v>
      </c>
      <c r="G208" s="17">
        <f>VLOOKUP(E208,DISTANCE!$1:$1048576,3,0)</f>
        <v>0.39444444444444443</v>
      </c>
      <c r="H208" s="18">
        <f>VLOOKUP(E208,DISTANCE!$1:$1048576,4,0)</f>
        <v>0.1041087962962963</v>
      </c>
      <c r="I208" s="7">
        <f>VLOOKUP(E208,DISTANCE!$1:$1048576,5,0)</f>
        <v>15.18</v>
      </c>
    </row>
    <row r="209" spans="1:9" x14ac:dyDescent="0.25">
      <c r="A209" t="s">
        <v>160</v>
      </c>
      <c r="B209" s="8">
        <v>15</v>
      </c>
      <c r="C209" s="7" t="s">
        <v>743</v>
      </c>
      <c r="D209" s="7" t="s">
        <v>46</v>
      </c>
      <c r="E209" s="6" t="str">
        <f>VLOOKUP(A209,COV!$1:$1048576,2,0)</f>
        <v>RJ47GA7274</v>
      </c>
      <c r="F209" s="17">
        <f>VLOOKUP(E209,DISTANCE!$1:$1048576,2,0)</f>
        <v>0.29375000000000001</v>
      </c>
      <c r="G209" s="17">
        <f>VLOOKUP(E209,DISTANCE!$1:$1048576,3,0)</f>
        <v>0.6069444444444444</v>
      </c>
      <c r="H209" s="18">
        <f>VLOOKUP(E209,DISTANCE!$1:$1048576,4,0)</f>
        <v>0.31351851851851853</v>
      </c>
      <c r="I209" s="7">
        <f>VLOOKUP(E209,DISTANCE!$1:$1048576,5,0)</f>
        <v>13.62</v>
      </c>
    </row>
    <row r="210" spans="1:9" x14ac:dyDescent="0.25">
      <c r="A210" t="s">
        <v>161</v>
      </c>
      <c r="B210" s="8">
        <v>16</v>
      </c>
      <c r="C210" s="7" t="s">
        <v>743</v>
      </c>
      <c r="D210" s="7" t="s">
        <v>46</v>
      </c>
      <c r="E210" s="6" t="str">
        <f>VLOOKUP(A210,COV!$1:$1048576,2,0)</f>
        <v>RJ47GA7243</v>
      </c>
      <c r="F210" s="17">
        <f>VLOOKUP(E210,DISTANCE!$1:$1048576,2,0)</f>
        <v>0.29791666666666666</v>
      </c>
      <c r="G210" s="17">
        <f>VLOOKUP(E210,DISTANCE!$1:$1048576,3,0)</f>
        <v>0.45624999999999999</v>
      </c>
      <c r="H210" s="18">
        <f>VLOOKUP(E210,DISTANCE!$1:$1048576,4,0)</f>
        <v>0.15887731481481482</v>
      </c>
      <c r="I210" s="7">
        <f>VLOOKUP(E210,DISTANCE!$1:$1048576,5,0)</f>
        <v>17.48</v>
      </c>
    </row>
    <row r="211" spans="1:9" x14ac:dyDescent="0.25">
      <c r="A211" t="s">
        <v>162</v>
      </c>
      <c r="B211" s="8">
        <v>17</v>
      </c>
      <c r="C211" s="7" t="s">
        <v>743</v>
      </c>
      <c r="D211" s="7" t="s">
        <v>82</v>
      </c>
      <c r="E211" s="6" t="str">
        <f>VLOOKUP(A211,COV!$1:$1048576,2,0)</f>
        <v>RJ47GA7178</v>
      </c>
      <c r="F211" s="17">
        <f>VLOOKUP(E211,DISTANCE!$1:$1048576,2,0)</f>
        <v>0.27777777777777779</v>
      </c>
      <c r="G211" s="17">
        <f>VLOOKUP(E211,DISTANCE!$1:$1048576,3,0)</f>
        <v>0.53819444444444442</v>
      </c>
      <c r="H211" s="18">
        <f>VLOOKUP(E211,DISTANCE!$1:$1048576,4,0)</f>
        <v>0.26069444444444445</v>
      </c>
      <c r="I211" s="7">
        <f>VLOOKUP(E211,DISTANCE!$1:$1048576,5,0)</f>
        <v>23.1</v>
      </c>
    </row>
    <row r="212" spans="1:9" x14ac:dyDescent="0.25">
      <c r="A212" t="s">
        <v>163</v>
      </c>
      <c r="B212" s="8">
        <v>18</v>
      </c>
      <c r="C212" s="7" t="s">
        <v>743</v>
      </c>
      <c r="D212" s="7" t="s">
        <v>82</v>
      </c>
      <c r="E212" s="6" t="str">
        <f>VLOOKUP(A212,COV!$1:$1048576,2,0)</f>
        <v>RJ47GA7180</v>
      </c>
      <c r="F212" s="17">
        <f>VLOOKUP(E212,DISTANCE!$1:$1048576,2,0)</f>
        <v>0.2722222222222222</v>
      </c>
      <c r="G212" s="17">
        <f>VLOOKUP(E212,DISTANCE!$1:$1048576,3,0)</f>
        <v>0.64513888888888893</v>
      </c>
      <c r="H212" s="18">
        <f>VLOOKUP(E212,DISTANCE!$1:$1048576,4,0)</f>
        <v>0.37298611111111113</v>
      </c>
      <c r="I212" s="7">
        <f>VLOOKUP(E212,DISTANCE!$1:$1048576,5,0)</f>
        <v>30.3</v>
      </c>
    </row>
    <row r="213" spans="1:9" x14ac:dyDescent="0.25">
      <c r="A213" t="s">
        <v>164</v>
      </c>
      <c r="B213" s="8">
        <v>19</v>
      </c>
      <c r="C213" s="7" t="s">
        <v>743</v>
      </c>
      <c r="D213" s="7" t="s">
        <v>82</v>
      </c>
      <c r="E213" s="6" t="str">
        <f>VLOOKUP(A213,COV!$1:$1048576,2,0)</f>
        <v>RJ47GA7288SW</v>
      </c>
      <c r="F213" s="17">
        <f>VLOOKUP(E213,DISTANCE!$1:$1048576,2,0)</f>
        <v>0.27013888888888887</v>
      </c>
      <c r="G213" s="17">
        <f>VLOOKUP(E213,DISTANCE!$1:$1048576,3,0)</f>
        <v>0.55347222222222225</v>
      </c>
      <c r="H213" s="18">
        <f>VLOOKUP(E213,DISTANCE!$1:$1048576,4,0)</f>
        <v>0.28325231481481483</v>
      </c>
      <c r="I213" s="7">
        <f>VLOOKUP(E213,DISTANCE!$1:$1048576,5,0)</f>
        <v>26.77</v>
      </c>
    </row>
    <row r="214" spans="1:9" x14ac:dyDescent="0.25">
      <c r="A214" t="s">
        <v>165</v>
      </c>
      <c r="B214" s="8">
        <v>20</v>
      </c>
      <c r="C214" s="7" t="s">
        <v>743</v>
      </c>
      <c r="D214" s="7" t="s">
        <v>41</v>
      </c>
      <c r="E214" s="6" t="str">
        <f>VLOOKUP(A214,COV!$1:$1048576,2,0)</f>
        <v>RJ47GA7331</v>
      </c>
      <c r="F214" s="17">
        <f>VLOOKUP(E214,DISTANCE!$1:$1048576,2,0)</f>
        <v>0.30416666666666664</v>
      </c>
      <c r="G214" s="17">
        <f>VLOOKUP(E214,DISTANCE!$1:$1048576,3,0)</f>
        <v>0.49444444444444446</v>
      </c>
      <c r="H214" s="18">
        <f>VLOOKUP(E214,DISTANCE!$1:$1048576,4,0)</f>
        <v>0.19040509259259258</v>
      </c>
      <c r="I214" s="7">
        <f>VLOOKUP(E214,DISTANCE!$1:$1048576,5,0)</f>
        <v>25.12</v>
      </c>
    </row>
    <row r="215" spans="1:9" x14ac:dyDescent="0.25">
      <c r="A215" t="s">
        <v>166</v>
      </c>
      <c r="B215" s="8">
        <v>21</v>
      </c>
      <c r="C215" s="7" t="s">
        <v>743</v>
      </c>
      <c r="D215" s="7" t="s">
        <v>41</v>
      </c>
      <c r="E215" s="6" t="str">
        <f>VLOOKUP(A215,COV!$1:$1048576,2,0)</f>
        <v>RJ47GA7342</v>
      </c>
      <c r="F215" s="17">
        <f>VLOOKUP(E215,DISTANCE!$1:$1048576,2,0)</f>
        <v>0.24305555555555555</v>
      </c>
      <c r="G215" s="17">
        <f>VLOOKUP(E215,DISTANCE!$1:$1048576,3,0)</f>
        <v>0.53472222222222221</v>
      </c>
      <c r="H215" s="18">
        <f>VLOOKUP(E215,DISTANCE!$1:$1048576,4,0)</f>
        <v>0.29175925925925927</v>
      </c>
      <c r="I215" s="7">
        <f>VLOOKUP(E215,DISTANCE!$1:$1048576,5,0)</f>
        <v>29.66</v>
      </c>
    </row>
    <row r="216" spans="1:9" x14ac:dyDescent="0.25">
      <c r="A216" t="s">
        <v>167</v>
      </c>
      <c r="B216" s="8">
        <v>22</v>
      </c>
      <c r="C216" s="7" t="s">
        <v>743</v>
      </c>
      <c r="D216" s="7" t="s">
        <v>10</v>
      </c>
      <c r="E216" s="6" t="str">
        <f>VLOOKUP(A216,COV!$1:$1048576,2,0)</f>
        <v>RJ47GA7270</v>
      </c>
      <c r="F216" s="17">
        <f>VLOOKUP(E216,DISTANCE!$1:$1048576,2,0)</f>
        <v>0.23749999999999999</v>
      </c>
      <c r="G216" s="17">
        <f>VLOOKUP(E216,DISTANCE!$1:$1048576,3,0)</f>
        <v>0.43611111111111112</v>
      </c>
      <c r="H216" s="18">
        <f>VLOOKUP(E216,DISTANCE!$1:$1048576,4,0)</f>
        <v>0.19898148148148148</v>
      </c>
      <c r="I216" s="7">
        <f>VLOOKUP(E216,DISTANCE!$1:$1048576,5,0)</f>
        <v>12.48</v>
      </c>
    </row>
    <row r="217" spans="1:9" x14ac:dyDescent="0.25">
      <c r="A217" t="s">
        <v>168</v>
      </c>
      <c r="B217" s="8">
        <v>23</v>
      </c>
      <c r="C217" s="7" t="s">
        <v>743</v>
      </c>
      <c r="D217" s="7" t="s">
        <v>10</v>
      </c>
      <c r="E217" s="6" t="str">
        <f>VLOOKUP(A217,COV!$1:$1048576,2,0)</f>
        <v>RJ47GA7192</v>
      </c>
      <c r="F217" s="17">
        <f>VLOOKUP(E217,DISTANCE!$1:$1048576,2,0)</f>
        <v>0.25</v>
      </c>
      <c r="G217" s="17">
        <f>VLOOKUP(E217,DISTANCE!$1:$1048576,3,0)</f>
        <v>0.45902777777777776</v>
      </c>
      <c r="H217" s="18">
        <f>VLOOKUP(E217,DISTANCE!$1:$1048576,4,0)</f>
        <v>0.20862268518518517</v>
      </c>
      <c r="I217" s="7">
        <f>VLOOKUP(E217,DISTANCE!$1:$1048576,5,0)</f>
        <v>18.86</v>
      </c>
    </row>
    <row r="218" spans="1:9" x14ac:dyDescent="0.25">
      <c r="A218" t="s">
        <v>169</v>
      </c>
      <c r="B218" s="8">
        <v>24</v>
      </c>
      <c r="C218" s="7" t="s">
        <v>743</v>
      </c>
      <c r="D218" s="7" t="s">
        <v>12</v>
      </c>
      <c r="E218" s="6" t="str">
        <f>VLOOKUP(A218,COV!$1:$1048576,2,0)</f>
        <v>RJ47GA7193</v>
      </c>
      <c r="F218" s="17">
        <f>VLOOKUP(E218,DISTANCE!$1:$1048576,2,0)</f>
        <v>0.26458333333333334</v>
      </c>
      <c r="G218" s="17">
        <f>VLOOKUP(E218,DISTANCE!$1:$1048576,3,0)</f>
        <v>0.44166666666666665</v>
      </c>
      <c r="H218" s="18">
        <f>VLOOKUP(E218,DISTANCE!$1:$1048576,4,0)</f>
        <v>0.17697916666666666</v>
      </c>
      <c r="I218" s="7">
        <f>VLOOKUP(E218,DISTANCE!$1:$1048576,5,0)</f>
        <v>22.18</v>
      </c>
    </row>
    <row r="219" spans="1:9" x14ac:dyDescent="0.25">
      <c r="A219" t="s">
        <v>170</v>
      </c>
      <c r="B219" s="8">
        <v>25</v>
      </c>
      <c r="C219" s="7" t="s">
        <v>743</v>
      </c>
      <c r="D219" s="7" t="s">
        <v>12</v>
      </c>
      <c r="E219" s="6" t="str">
        <f>VLOOKUP(A219,COV!$1:$1048576,2,0)</f>
        <v>RJ47GA7182</v>
      </c>
      <c r="F219" s="17">
        <f>VLOOKUP(E219,DISTANCE!$1:$1048576,2,0)</f>
        <v>0.25694444444444442</v>
      </c>
      <c r="G219" s="17">
        <f>VLOOKUP(E219,DISTANCE!$1:$1048576,3,0)</f>
        <v>0.55277777777777781</v>
      </c>
      <c r="H219" s="18">
        <f>VLOOKUP(E219,DISTANCE!$1:$1048576,4,0)</f>
        <v>0.29579861111111111</v>
      </c>
      <c r="I219" s="7">
        <f>VLOOKUP(E219,DISTANCE!$1:$1048576,5,0)</f>
        <v>60.22</v>
      </c>
    </row>
    <row r="220" spans="1:9" x14ac:dyDescent="0.25">
      <c r="A220" t="s">
        <v>171</v>
      </c>
      <c r="B220" s="8">
        <v>26</v>
      </c>
      <c r="C220" s="7" t="s">
        <v>743</v>
      </c>
      <c r="D220" s="7" t="s">
        <v>12</v>
      </c>
      <c r="E220" s="6" t="str">
        <f>VLOOKUP(A220,COV!$1:$1048576,2,0)</f>
        <v>RJ47GA7176</v>
      </c>
      <c r="F220" s="17">
        <f>VLOOKUP(E220,DISTANCE!$1:$1048576,2,0)</f>
        <v>0.2951388888888889</v>
      </c>
      <c r="G220" s="17">
        <f>VLOOKUP(E220,DISTANCE!$1:$1048576,3,0)</f>
        <v>0.46458333333333335</v>
      </c>
      <c r="H220" s="18">
        <f>VLOOKUP(E220,DISTANCE!$1:$1048576,4,0)</f>
        <v>0.16943287037037036</v>
      </c>
      <c r="I220" s="7">
        <f>VLOOKUP(E220,DISTANCE!$1:$1048576,5,0)</f>
        <v>13.78</v>
      </c>
    </row>
    <row r="221" spans="1:9" x14ac:dyDescent="0.25">
      <c r="A221" t="s">
        <v>172</v>
      </c>
      <c r="B221" s="8">
        <v>27</v>
      </c>
      <c r="C221" s="7" t="s">
        <v>743</v>
      </c>
      <c r="D221" s="7" t="s">
        <v>31</v>
      </c>
      <c r="E221" s="6" t="str">
        <f>VLOOKUP(A221,COV!$1:$1048576,2,0)</f>
        <v>RJ47GA7174</v>
      </c>
      <c r="F221" s="17">
        <f>VLOOKUP(E221,DISTANCE!$1:$1048576,2,0)</f>
        <v>0.28958333333333336</v>
      </c>
      <c r="G221" s="17">
        <f>VLOOKUP(E221,DISTANCE!$1:$1048576,3,0)</f>
        <v>0.57291666666666663</v>
      </c>
      <c r="H221" s="18">
        <f>VLOOKUP(E221,DISTANCE!$1:$1048576,4,0)</f>
        <v>0.28333333333333333</v>
      </c>
      <c r="I221" s="7">
        <f>VLOOKUP(E221,DISTANCE!$1:$1048576,5,0)</f>
        <v>30.61</v>
      </c>
    </row>
    <row r="222" spans="1:9" x14ac:dyDescent="0.25">
      <c r="A222" t="s">
        <v>173</v>
      </c>
      <c r="B222" s="8">
        <v>28</v>
      </c>
      <c r="C222" s="7" t="s">
        <v>743</v>
      </c>
      <c r="D222" s="7" t="s">
        <v>31</v>
      </c>
      <c r="E222" s="6" t="str">
        <f>VLOOKUP(A222,COV!$1:$1048576,2,0)</f>
        <v>RJ47GA7186</v>
      </c>
      <c r="F222" s="17">
        <f>VLOOKUP(E222,DISTANCE!$1:$1048576,2,0)</f>
        <v>0.24791666666666667</v>
      </c>
      <c r="G222" s="17">
        <f>VLOOKUP(E222,DISTANCE!$1:$1048576,3,0)</f>
        <v>0.53541666666666665</v>
      </c>
      <c r="H222" s="18">
        <f>VLOOKUP(E222,DISTANCE!$1:$1048576,4,0)</f>
        <v>0.2870949074074074</v>
      </c>
      <c r="I222" s="7">
        <f>VLOOKUP(E222,DISTANCE!$1:$1048576,5,0)</f>
        <v>27.85</v>
      </c>
    </row>
    <row r="223" spans="1:9" x14ac:dyDescent="0.25">
      <c r="A223" t="s">
        <v>174</v>
      </c>
      <c r="B223" s="8">
        <v>29</v>
      </c>
      <c r="C223" s="7" t="s">
        <v>743</v>
      </c>
      <c r="D223" s="7" t="s">
        <v>66</v>
      </c>
      <c r="E223" s="6" t="str">
        <f>VLOOKUP(A223,COV!$1:$1048576,2,0)</f>
        <v>RJ47GA7283</v>
      </c>
      <c r="F223" s="17">
        <f>VLOOKUP(E223,DISTANCE!$1:$1048576,2,0)</f>
        <v>1.4583333333333334E-2</v>
      </c>
      <c r="G223" s="17">
        <f>VLOOKUP(E223,DISTANCE!$1:$1048576,3,0)</f>
        <v>0.63958333333333328</v>
      </c>
      <c r="H223" s="18">
        <f>VLOOKUP(E223,DISTANCE!$1:$1048576,4,0)</f>
        <v>0.62480324074074078</v>
      </c>
      <c r="I223" s="7">
        <f>VLOOKUP(E223,DISTANCE!$1:$1048576,5,0)</f>
        <v>22</v>
      </c>
    </row>
    <row r="224" spans="1:9" x14ac:dyDescent="0.25">
      <c r="A224" t="s">
        <v>175</v>
      </c>
      <c r="B224" s="8">
        <v>30</v>
      </c>
      <c r="C224" s="7" t="s">
        <v>743</v>
      </c>
      <c r="D224" s="7" t="s">
        <v>66</v>
      </c>
      <c r="E224" s="6" t="str">
        <f>VLOOKUP(A224,COV!$1:$1048576,2,0)</f>
        <v>RJ47GA7292</v>
      </c>
      <c r="F224" s="17">
        <f>VLOOKUP(E224,DISTANCE!$1:$1048576,2,0)</f>
        <v>0.2722222222222222</v>
      </c>
      <c r="G224" s="17">
        <f>VLOOKUP(E224,DISTANCE!$1:$1048576,3,0)</f>
        <v>0.45902777777777776</v>
      </c>
      <c r="H224" s="18">
        <f>VLOOKUP(E224,DISTANCE!$1:$1048576,4,0)</f>
        <v>0.18643518518518518</v>
      </c>
      <c r="I224" s="7">
        <f>VLOOKUP(E224,DISTANCE!$1:$1048576,5,0)</f>
        <v>23.52</v>
      </c>
    </row>
    <row r="225" spans="1:9" x14ac:dyDescent="0.25">
      <c r="A225" t="s">
        <v>176</v>
      </c>
      <c r="B225" s="8">
        <v>31</v>
      </c>
      <c r="C225" s="7" t="s">
        <v>743</v>
      </c>
      <c r="D225" s="7" t="s">
        <v>73</v>
      </c>
      <c r="E225" s="6" t="str">
        <f>VLOOKUP(A225,COV!$1:$1048576,2,0)</f>
        <v>RJ47GA7271</v>
      </c>
      <c r="F225" s="17">
        <f>VLOOKUP(E225,DISTANCE!$1:$1048576,2,0)</f>
        <v>0.28472222222222221</v>
      </c>
      <c r="G225" s="17">
        <f>VLOOKUP(E225,DISTANCE!$1:$1048576,3,0)</f>
        <v>0.60555555555555551</v>
      </c>
      <c r="H225" s="18">
        <f>VLOOKUP(E225,DISTANCE!$1:$1048576,4,0)</f>
        <v>0.32042824074074072</v>
      </c>
      <c r="I225" s="7">
        <f>VLOOKUP(E225,DISTANCE!$1:$1048576,5,0)</f>
        <v>27.13</v>
      </c>
    </row>
    <row r="226" spans="1:9" x14ac:dyDescent="0.25">
      <c r="A226" t="s">
        <v>177</v>
      </c>
      <c r="B226" s="8">
        <v>32</v>
      </c>
      <c r="C226" s="7" t="s">
        <v>743</v>
      </c>
      <c r="D226" s="7" t="s">
        <v>73</v>
      </c>
      <c r="E226" s="6" t="str">
        <f>VLOOKUP(A226,COV!$1:$1048576,2,0)</f>
        <v>RJ47GA7285</v>
      </c>
      <c r="F226" s="17">
        <f>VLOOKUP(E226,DISTANCE!$1:$1048576,2,0)</f>
        <v>0.29097222222222224</v>
      </c>
      <c r="G226" s="17">
        <f>VLOOKUP(E226,DISTANCE!$1:$1048576,3,0)</f>
        <v>0.52013888888888893</v>
      </c>
      <c r="H226" s="18">
        <f>VLOOKUP(E226,DISTANCE!$1:$1048576,4,0)</f>
        <v>0.22961805555555556</v>
      </c>
      <c r="I226" s="7">
        <f>VLOOKUP(E226,DISTANCE!$1:$1048576,5,0)</f>
        <v>25.62</v>
      </c>
    </row>
    <row r="227" spans="1:9" x14ac:dyDescent="0.25">
      <c r="A227" t="s">
        <v>178</v>
      </c>
      <c r="B227" s="8">
        <v>33</v>
      </c>
      <c r="C227" s="7" t="s">
        <v>743</v>
      </c>
      <c r="D227" s="7" t="s">
        <v>29</v>
      </c>
      <c r="E227" s="6" t="str">
        <f>VLOOKUP(A227,COV!$1:$1048576,2,0)</f>
        <v>RJ47GA7235</v>
      </c>
      <c r="F227" s="17">
        <f>VLOOKUP(E227,DISTANCE!$1:$1048576,2,0)</f>
        <v>0.15347222222222223</v>
      </c>
      <c r="G227" s="17">
        <f>VLOOKUP(E227,DISTANCE!$1:$1048576,3,0)</f>
        <v>0.46319444444444446</v>
      </c>
      <c r="H227" s="18">
        <f>VLOOKUP(E227,DISTANCE!$1:$1048576,4,0)</f>
        <v>0.31019675925925927</v>
      </c>
      <c r="I227" s="7">
        <f>VLOOKUP(E227,DISTANCE!$1:$1048576,5,0)</f>
        <v>25.85</v>
      </c>
    </row>
    <row r="228" spans="1:9" x14ac:dyDescent="0.25">
      <c r="A228" t="s">
        <v>179</v>
      </c>
      <c r="B228" s="8">
        <v>34</v>
      </c>
      <c r="C228" s="7" t="s">
        <v>743</v>
      </c>
      <c r="D228" s="7" t="s">
        <v>29</v>
      </c>
      <c r="E228" s="6" t="str">
        <f>VLOOKUP(A228,COV!$1:$1048576,2,0)</f>
        <v>RJ47GA7179</v>
      </c>
      <c r="F228" s="17">
        <f>VLOOKUP(E228,DISTANCE!$1:$1048576,2,0)</f>
        <v>0.28819444444444442</v>
      </c>
      <c r="G228" s="17">
        <f>VLOOKUP(E228,DISTANCE!$1:$1048576,3,0)</f>
        <v>0.47638888888888886</v>
      </c>
      <c r="H228" s="18">
        <f>VLOOKUP(E228,DISTANCE!$1:$1048576,4,0)</f>
        <v>0.18770833333333334</v>
      </c>
      <c r="I228" s="7">
        <f>VLOOKUP(E228,DISTANCE!$1:$1048576,5,0)</f>
        <v>21.49</v>
      </c>
    </row>
    <row r="229" spans="1:9" x14ac:dyDescent="0.25">
      <c r="A229" t="s">
        <v>180</v>
      </c>
      <c r="B229" s="8">
        <v>35</v>
      </c>
      <c r="C229" s="7" t="s">
        <v>743</v>
      </c>
      <c r="D229" s="7" t="s">
        <v>29</v>
      </c>
      <c r="E229" s="6" t="str">
        <f>VLOOKUP(A229,COV!$1:$1048576,2,0)</f>
        <v>RJ47GA7228</v>
      </c>
      <c r="F229" s="17">
        <f>VLOOKUP(E229,DISTANCE!$1:$1048576,2,0)</f>
        <v>0.28611111111111109</v>
      </c>
      <c r="G229" s="17">
        <f>VLOOKUP(E229,DISTANCE!$1:$1048576,3,0)</f>
        <v>0.58125000000000004</v>
      </c>
      <c r="H229" s="18">
        <f>VLOOKUP(E229,DISTANCE!$1:$1048576,4,0)</f>
        <v>0.29464120370370372</v>
      </c>
      <c r="I229" s="7">
        <f>VLOOKUP(E229,DISTANCE!$1:$1048576,5,0)</f>
        <v>34.04</v>
      </c>
    </row>
    <row r="230" spans="1:9" x14ac:dyDescent="0.25">
      <c r="A230" t="s">
        <v>181</v>
      </c>
      <c r="B230" s="8">
        <v>36</v>
      </c>
      <c r="C230" s="7" t="s">
        <v>743</v>
      </c>
      <c r="D230" s="7" t="s">
        <v>74</v>
      </c>
      <c r="E230" s="6" t="str">
        <f>VLOOKUP(A230,COV!$1:$1048576,2,0)</f>
        <v>RJ47GA7185</v>
      </c>
      <c r="F230" s="17">
        <f>VLOOKUP(E230,DISTANCE!$1:$1048576,2,0)</f>
        <v>0.19583333333333333</v>
      </c>
      <c r="G230" s="17">
        <f>VLOOKUP(E230,DISTANCE!$1:$1048576,3,0)</f>
        <v>0.6020833333333333</v>
      </c>
      <c r="H230" s="18">
        <f>VLOOKUP(E230,DISTANCE!$1:$1048576,4,0)</f>
        <v>0.4067013888888889</v>
      </c>
      <c r="I230" s="7">
        <f>VLOOKUP(E230,DISTANCE!$1:$1048576,5,0)</f>
        <v>21.51</v>
      </c>
    </row>
    <row r="231" spans="1:9" x14ac:dyDescent="0.25">
      <c r="A231" t="s">
        <v>182</v>
      </c>
      <c r="B231" s="8">
        <v>37</v>
      </c>
      <c r="C231" s="7" t="s">
        <v>743</v>
      </c>
      <c r="D231" s="7" t="s">
        <v>74</v>
      </c>
      <c r="E231" s="6" t="str">
        <f>VLOOKUP(A231,COV!$1:$1048576,2,0)</f>
        <v>RJ47GA7219</v>
      </c>
      <c r="F231" s="17">
        <f>VLOOKUP(E231,DISTANCE!$1:$1048576,2,0)</f>
        <v>0.2326388888888889</v>
      </c>
      <c r="G231" s="17">
        <f>VLOOKUP(E231,DISTANCE!$1:$1048576,3,0)</f>
        <v>0.62361111111111112</v>
      </c>
      <c r="H231" s="18">
        <f>VLOOKUP(E231,DISTANCE!$1:$1048576,4,0)</f>
        <v>0.39097222222222222</v>
      </c>
      <c r="I231" s="7">
        <f>VLOOKUP(E231,DISTANCE!$1:$1048576,5,0)</f>
        <v>19.22</v>
      </c>
    </row>
    <row r="232" spans="1:9" x14ac:dyDescent="0.25">
      <c r="A232" t="s">
        <v>183</v>
      </c>
      <c r="B232" s="8">
        <v>38</v>
      </c>
      <c r="C232" s="7" t="s">
        <v>743</v>
      </c>
      <c r="D232" s="7" t="s">
        <v>74</v>
      </c>
      <c r="E232" s="6" t="str">
        <f>VLOOKUP(A232,COV!$1:$1048576,2,0)</f>
        <v>RJ47GA7333</v>
      </c>
      <c r="F232" s="17">
        <f>VLOOKUP(E232,DISTANCE!$1:$1048576,2,0)</f>
        <v>0.30555555555555558</v>
      </c>
      <c r="G232" s="17">
        <f>VLOOKUP(E232,DISTANCE!$1:$1048576,3,0)</f>
        <v>0.65972222222222221</v>
      </c>
      <c r="H232" s="18">
        <f>VLOOKUP(E232,DISTANCE!$1:$1048576,4,0)</f>
        <v>0.35439814814814813</v>
      </c>
      <c r="I232" s="7">
        <f>VLOOKUP(E232,DISTANCE!$1:$1048576,5,0)</f>
        <v>20.100000000000001</v>
      </c>
    </row>
    <row r="233" spans="1:9" x14ac:dyDescent="0.25">
      <c r="A233" t="s">
        <v>184</v>
      </c>
      <c r="B233" s="8">
        <v>39</v>
      </c>
      <c r="C233" s="7" t="s">
        <v>743</v>
      </c>
      <c r="D233" s="7" t="s">
        <v>23</v>
      </c>
      <c r="E233" s="6" t="str">
        <f>VLOOKUP(A233,COV!$1:$1048576,2,0)</f>
        <v>RJ47GA7217</v>
      </c>
      <c r="F233" s="17">
        <f>VLOOKUP(E233,DISTANCE!$1:$1048576,2,0)</f>
        <v>0.25486111111111109</v>
      </c>
      <c r="G233" s="17">
        <f>VLOOKUP(E233,DISTANCE!$1:$1048576,3,0)</f>
        <v>0.64930555555555558</v>
      </c>
      <c r="H233" s="18">
        <f>VLOOKUP(E233,DISTANCE!$1:$1048576,4,0)</f>
        <v>0.39479166666666665</v>
      </c>
      <c r="I233" s="7">
        <f>VLOOKUP(E233,DISTANCE!$1:$1048576,5,0)</f>
        <v>23.29</v>
      </c>
    </row>
    <row r="234" spans="1:9" x14ac:dyDescent="0.25">
      <c r="A234" t="s">
        <v>185</v>
      </c>
      <c r="B234" s="8">
        <v>40</v>
      </c>
      <c r="C234" s="7" t="s">
        <v>743</v>
      </c>
      <c r="D234" s="7" t="s">
        <v>23</v>
      </c>
      <c r="E234" s="6" t="str">
        <f>VLOOKUP(A234,COV!$1:$1048576,2,0)</f>
        <v>RJ47GA7297</v>
      </c>
      <c r="F234" s="17">
        <f>VLOOKUP(E234,DISTANCE!$1:$1048576,2,0)</f>
        <v>2.0833333333333333E-3</v>
      </c>
      <c r="G234" s="17">
        <f>VLOOKUP(E234,DISTANCE!$1:$1048576,3,0)</f>
        <v>0.65694444444444444</v>
      </c>
      <c r="H234" s="18">
        <f>VLOOKUP(E234,DISTANCE!$1:$1048576,4,0)</f>
        <v>0.65512731481481479</v>
      </c>
      <c r="I234" s="7">
        <f>VLOOKUP(E234,DISTANCE!$1:$1048576,5,0)</f>
        <v>27.54</v>
      </c>
    </row>
    <row r="235" spans="1:9" x14ac:dyDescent="0.25">
      <c r="A235" t="s">
        <v>186</v>
      </c>
      <c r="B235" s="8">
        <v>41</v>
      </c>
      <c r="C235" s="7" t="s">
        <v>743</v>
      </c>
      <c r="D235" s="7" t="s">
        <v>21</v>
      </c>
      <c r="E235" s="6" t="str">
        <f>VLOOKUP(A235,COV!$1:$1048576,2,0)</f>
        <v>RJ47GA7295</v>
      </c>
      <c r="F235" s="17">
        <f>VLOOKUP(E235,DISTANCE!$1:$1048576,2,0)</f>
        <v>0.26527777777777778</v>
      </c>
      <c r="G235" s="17">
        <f>VLOOKUP(E235,DISTANCE!$1:$1048576,3,0)</f>
        <v>0.61736111111111114</v>
      </c>
      <c r="H235" s="18">
        <f>VLOOKUP(E235,DISTANCE!$1:$1048576,4,0)</f>
        <v>0.35215277777777776</v>
      </c>
      <c r="I235" s="7">
        <f>VLOOKUP(E235,DISTANCE!$1:$1048576,5,0)</f>
        <v>21.66</v>
      </c>
    </row>
    <row r="236" spans="1:9" x14ac:dyDescent="0.25">
      <c r="A236" t="s">
        <v>187</v>
      </c>
      <c r="B236" s="8">
        <v>42</v>
      </c>
      <c r="C236" s="7" t="s">
        <v>743</v>
      </c>
      <c r="D236" s="7" t="s">
        <v>21</v>
      </c>
      <c r="E236" s="6" t="str">
        <f>VLOOKUP(A236,COV!$1:$1048576,2,0)</f>
        <v>RJ47GA7290</v>
      </c>
      <c r="F236" s="17">
        <f>VLOOKUP(E236,DISTANCE!$1:$1048576,2,0)</f>
        <v>0.24583333333333332</v>
      </c>
      <c r="G236" s="17">
        <f>VLOOKUP(E236,DISTANCE!$1:$1048576,3,0)</f>
        <v>0.6430555555555556</v>
      </c>
      <c r="H236" s="18">
        <f>VLOOKUP(E236,DISTANCE!$1:$1048576,4,0)</f>
        <v>0.39688657407407407</v>
      </c>
      <c r="I236" s="7">
        <f>VLOOKUP(E236,DISTANCE!$1:$1048576,5,0)</f>
        <v>14.99</v>
      </c>
    </row>
    <row r="237" spans="1:9" x14ac:dyDescent="0.25">
      <c r="A237" t="s">
        <v>188</v>
      </c>
      <c r="B237" s="8">
        <v>43</v>
      </c>
      <c r="C237" s="7" t="s">
        <v>743</v>
      </c>
      <c r="D237" s="7" t="s">
        <v>55</v>
      </c>
      <c r="E237" s="6" t="str">
        <f>VLOOKUP(A237,COV!$1:$1048576,2,0)</f>
        <v>RJ47GA7338</v>
      </c>
      <c r="F237" s="17">
        <f>VLOOKUP(E237,DISTANCE!$1:$1048576,2,0)</f>
        <v>0.24722222222222223</v>
      </c>
      <c r="G237" s="17">
        <f>VLOOKUP(E237,DISTANCE!$1:$1048576,3,0)</f>
        <v>0.66319444444444442</v>
      </c>
      <c r="H237" s="18">
        <f>VLOOKUP(E237,DISTANCE!$1:$1048576,4,0)</f>
        <v>0.41548611111111111</v>
      </c>
      <c r="I237" s="7">
        <f>VLOOKUP(E237,DISTANCE!$1:$1048576,5,0)</f>
        <v>40.619999999999997</v>
      </c>
    </row>
    <row r="238" spans="1:9" x14ac:dyDescent="0.25">
      <c r="A238" t="s">
        <v>189</v>
      </c>
      <c r="B238" s="8">
        <v>44</v>
      </c>
      <c r="C238" s="7" t="s">
        <v>743</v>
      </c>
      <c r="D238" s="14" t="s">
        <v>55</v>
      </c>
      <c r="E238" s="6" t="str">
        <f>VLOOKUP(A238,COV!$1:$1048576,2,0)</f>
        <v>RJ47GA7294</v>
      </c>
      <c r="F238" s="17">
        <f>VLOOKUP(E238,DISTANCE!$1:$1048576,2,0)</f>
        <v>0.2673611111111111</v>
      </c>
      <c r="G238" s="17">
        <f>VLOOKUP(E238,DISTANCE!$1:$1048576,3,0)</f>
        <v>0.51180555555555551</v>
      </c>
      <c r="H238" s="18">
        <f>VLOOKUP(E238,DISTANCE!$1:$1048576,4,0)</f>
        <v>0.24484953703703705</v>
      </c>
      <c r="I238" s="7">
        <f>VLOOKUP(E238,DISTANCE!$1:$1048576,5,0)</f>
        <v>18.71</v>
      </c>
    </row>
    <row r="239" spans="1:9" x14ac:dyDescent="0.25">
      <c r="A239" t="s">
        <v>539</v>
      </c>
      <c r="B239" s="8">
        <v>45</v>
      </c>
      <c r="C239" s="7" t="s">
        <v>743</v>
      </c>
      <c r="D239" s="7" t="s">
        <v>101</v>
      </c>
      <c r="E239" s="6" t="str">
        <f>VLOOKUP(A239,COV!$1:$1048576,2,0)</f>
        <v>RJ47GA7218</v>
      </c>
      <c r="F239" s="17">
        <f>VLOOKUP(E239,DISTANCE!$1:$1048576,2,0)</f>
        <v>0.31111111111111112</v>
      </c>
      <c r="G239" s="17">
        <f>VLOOKUP(E239,DISTANCE!$1:$1048576,3,0)</f>
        <v>0.62361111111111112</v>
      </c>
      <c r="H239" s="18">
        <f>VLOOKUP(E239,DISTANCE!$1:$1048576,4,0)</f>
        <v>0.31232638888888886</v>
      </c>
      <c r="I239" s="7">
        <f>VLOOKUP(E239,DISTANCE!$1:$1048576,5,0)</f>
        <v>28.99</v>
      </c>
    </row>
    <row r="240" spans="1:9" x14ac:dyDescent="0.25">
      <c r="A240" t="s">
        <v>540</v>
      </c>
      <c r="B240" s="8">
        <v>46</v>
      </c>
      <c r="C240" s="7" t="s">
        <v>743</v>
      </c>
      <c r="D240" s="7" t="s">
        <v>101</v>
      </c>
      <c r="E240" s="6" t="str">
        <f>VLOOKUP(A240,COV!$1:$1048576,2,0)</f>
        <v>RJ14GN3509</v>
      </c>
      <c r="F240" s="17">
        <f>VLOOKUP(E240,DISTANCE!$1:$1048576,2,0)</f>
        <v>0.30486111111111114</v>
      </c>
      <c r="G240" s="17">
        <f>VLOOKUP(E240,DISTANCE!$1:$1048576,3,0)</f>
        <v>0.5805555555555556</v>
      </c>
      <c r="H240" s="18">
        <f>VLOOKUP(E240,DISTANCE!$1:$1048576,4,0)</f>
        <v>0.27567129629629628</v>
      </c>
      <c r="I240" s="7">
        <f>VLOOKUP(E240,DISTANCE!$1:$1048576,5,0)</f>
        <v>20.3</v>
      </c>
    </row>
    <row r="241" spans="1:9" x14ac:dyDescent="0.25">
      <c r="A241" t="s">
        <v>541</v>
      </c>
      <c r="B241" s="8">
        <v>47</v>
      </c>
      <c r="C241" s="7" t="s">
        <v>743</v>
      </c>
      <c r="D241" s="7" t="s">
        <v>48</v>
      </c>
      <c r="E241" s="6" t="str">
        <f>VLOOKUP(A241,COV!$1:$1048576,2,0)</f>
        <v>RJ14GN3510</v>
      </c>
      <c r="F241" s="17">
        <f>VLOOKUP(E241,DISTANCE!$1:$1048576,2,0)</f>
        <v>0.30694444444444446</v>
      </c>
      <c r="G241" s="17">
        <f>VLOOKUP(E241,DISTANCE!$1:$1048576,3,0)</f>
        <v>0.46458333333333335</v>
      </c>
      <c r="H241" s="18">
        <f>VLOOKUP(E241,DISTANCE!$1:$1048576,4,0)</f>
        <v>0.1575462962962963</v>
      </c>
      <c r="I241" s="7">
        <f>VLOOKUP(E241,DISTANCE!$1:$1048576,5,0)</f>
        <v>13.99</v>
      </c>
    </row>
    <row r="242" spans="1:9" x14ac:dyDescent="0.25">
      <c r="A242" t="s">
        <v>542</v>
      </c>
      <c r="B242" s="8">
        <v>48</v>
      </c>
      <c r="C242" s="7" t="s">
        <v>743</v>
      </c>
      <c r="D242" s="7" t="s">
        <v>48</v>
      </c>
      <c r="E242" s="6" t="str">
        <f>VLOOKUP(A242,COV!$1:$1048576,2,0)</f>
        <v>RJ47GA6537</v>
      </c>
      <c r="F242" s="17">
        <f>VLOOKUP(E242,DISTANCE!$1:$1048576,2,0)</f>
        <v>0.29791666666666666</v>
      </c>
      <c r="G242" s="17">
        <f>VLOOKUP(E242,DISTANCE!$1:$1048576,3,0)</f>
        <v>0.66041666666666665</v>
      </c>
      <c r="H242" s="18">
        <f>VLOOKUP(E242,DISTANCE!$1:$1048576,4,0)</f>
        <v>0.36267361111111113</v>
      </c>
      <c r="I242" s="7">
        <f>VLOOKUP(E242,DISTANCE!$1:$1048576,5,0)</f>
        <v>15.96</v>
      </c>
    </row>
    <row r="243" spans="1:9" x14ac:dyDescent="0.25">
      <c r="A243" t="s">
        <v>543</v>
      </c>
      <c r="B243" s="8">
        <v>49</v>
      </c>
      <c r="C243" s="7" t="s">
        <v>743</v>
      </c>
      <c r="D243" s="7" t="s">
        <v>6</v>
      </c>
      <c r="E243" s="6" t="str">
        <f>VLOOKUP(A243,COV!$1:$1048576,2,0)</f>
        <v>RJ47GA6538</v>
      </c>
      <c r="F243" s="17">
        <f>VLOOKUP(E243,DISTANCE!$1:$1048576,2,0)</f>
        <v>0.27361111111111114</v>
      </c>
      <c r="G243" s="17">
        <f>VLOOKUP(E243,DISTANCE!$1:$1048576,3,0)</f>
        <v>0.54097222222222219</v>
      </c>
      <c r="H243" s="18">
        <f>VLOOKUP(E243,DISTANCE!$1:$1048576,4,0)</f>
        <v>0.26716435185185183</v>
      </c>
      <c r="I243" s="7">
        <f>VLOOKUP(E243,DISTANCE!$1:$1048576,5,0)</f>
        <v>12.41</v>
      </c>
    </row>
    <row r="244" spans="1:9" x14ac:dyDescent="0.25">
      <c r="A244" t="s">
        <v>194</v>
      </c>
      <c r="B244" s="8">
        <v>50</v>
      </c>
      <c r="C244" s="7" t="s">
        <v>743</v>
      </c>
      <c r="D244" s="7" t="s">
        <v>6</v>
      </c>
      <c r="E244" s="6" t="str">
        <f>VLOOKUP(A244,COV!$1:$1048576,2,0)</f>
        <v>RJ47GA7275</v>
      </c>
      <c r="F244" s="17">
        <f>VLOOKUP(E244,DISTANCE!$1:$1048576,2,0)</f>
        <v>0.26805555555555555</v>
      </c>
      <c r="G244" s="17">
        <f>VLOOKUP(E244,DISTANCE!$1:$1048576,3,0)</f>
        <v>0.53125</v>
      </c>
      <c r="H244" s="18">
        <f>VLOOKUP(E244,DISTANCE!$1:$1048576,4,0)</f>
        <v>0.26350694444444445</v>
      </c>
      <c r="I244" s="7">
        <f>VLOOKUP(E244,DISTANCE!$1:$1048576,5,0)</f>
        <v>64.25</v>
      </c>
    </row>
    <row r="245" spans="1:9" x14ac:dyDescent="0.25">
      <c r="A245" t="s">
        <v>195</v>
      </c>
      <c r="B245" s="8">
        <v>51</v>
      </c>
      <c r="C245" s="7" t="s">
        <v>743</v>
      </c>
      <c r="D245" s="7" t="s">
        <v>24</v>
      </c>
      <c r="E245" s="6" t="str">
        <f>VLOOKUP(A245,COV!$1:$1048576,2,0)</f>
        <v>RJ47GA7175</v>
      </c>
      <c r="F245" s="17" t="e">
        <f>VLOOKUP(E245,DISTANCE!$1:$1048576,2,0)</f>
        <v>#N/A</v>
      </c>
      <c r="G245" s="17" t="e">
        <f>VLOOKUP(E245,DISTANCE!$1:$1048576,3,0)</f>
        <v>#N/A</v>
      </c>
      <c r="H245" s="18" t="e">
        <f>VLOOKUP(E245,DISTANCE!$1:$1048576,4,0)</f>
        <v>#N/A</v>
      </c>
      <c r="I245" s="7" t="e">
        <f>VLOOKUP(E245,DISTANCE!$1:$1048576,5,0)</f>
        <v>#N/A</v>
      </c>
    </row>
    <row r="246" spans="1:9" x14ac:dyDescent="0.25">
      <c r="A246" t="s">
        <v>196</v>
      </c>
      <c r="B246" s="8">
        <v>52</v>
      </c>
      <c r="C246" s="7" t="s">
        <v>743</v>
      </c>
      <c r="D246" s="7" t="s">
        <v>24</v>
      </c>
      <c r="E246" s="6" t="str">
        <f>VLOOKUP(A246,COV!$1:$1048576,2,0)</f>
        <v>RJ47GA7339</v>
      </c>
      <c r="F246" s="17">
        <f>VLOOKUP(E246,DISTANCE!$1:$1048576,2,0)</f>
        <v>0.29722222222222222</v>
      </c>
      <c r="G246" s="17">
        <f>VLOOKUP(E246,DISTANCE!$1:$1048576,3,0)</f>
        <v>0.65277777777777779</v>
      </c>
      <c r="H246" s="18">
        <f>VLOOKUP(E246,DISTANCE!$1:$1048576,4,0)</f>
        <v>0.35600694444444442</v>
      </c>
      <c r="I246" s="7">
        <f>VLOOKUP(E246,DISTANCE!$1:$1048576,5,0)</f>
        <v>49.39</v>
      </c>
    </row>
    <row r="247" spans="1:9" x14ac:dyDescent="0.25">
      <c r="A247" t="s">
        <v>197</v>
      </c>
      <c r="B247" s="8">
        <v>53</v>
      </c>
      <c r="C247" s="7" t="s">
        <v>743</v>
      </c>
      <c r="D247" s="7" t="s">
        <v>24</v>
      </c>
      <c r="E247" s="6" t="str">
        <f>VLOOKUP(A247,COV!$1:$1048576,2,0)</f>
        <v>RJ47GA7238</v>
      </c>
      <c r="F247" s="17">
        <f>VLOOKUP(E247,DISTANCE!$1:$1048576,2,0)</f>
        <v>0.29722222222222222</v>
      </c>
      <c r="G247" s="17">
        <f>VLOOKUP(E247,DISTANCE!$1:$1048576,3,0)</f>
        <v>0.65416666666666667</v>
      </c>
      <c r="H247" s="18">
        <f>VLOOKUP(E247,DISTANCE!$1:$1048576,4,0)</f>
        <v>0.35675925925925928</v>
      </c>
      <c r="I247" s="7">
        <f>VLOOKUP(E247,DISTANCE!$1:$1048576,5,0)</f>
        <v>36.31</v>
      </c>
    </row>
    <row r="248" spans="1:9" x14ac:dyDescent="0.25">
      <c r="A248" t="s">
        <v>198</v>
      </c>
      <c r="B248" s="8">
        <v>54</v>
      </c>
      <c r="C248" s="7" t="s">
        <v>743</v>
      </c>
      <c r="D248" s="7" t="s">
        <v>15</v>
      </c>
      <c r="E248" s="6" t="str">
        <f>VLOOKUP(A248,COV!$1:$1048576,2,0)</f>
        <v>RJ47GA7341</v>
      </c>
      <c r="F248" s="17">
        <f>VLOOKUP(E248,DISTANCE!$1:$1048576,2,0)</f>
        <v>0.25</v>
      </c>
      <c r="G248" s="17">
        <f>VLOOKUP(E248,DISTANCE!$1:$1048576,3,0)</f>
        <v>0.46944444444444444</v>
      </c>
      <c r="H248" s="18">
        <f>VLOOKUP(E248,DISTANCE!$1:$1048576,4,0)</f>
        <v>0.22002314814814813</v>
      </c>
      <c r="I248" s="7">
        <f>VLOOKUP(E248,DISTANCE!$1:$1048576,5,0)</f>
        <v>52.25</v>
      </c>
    </row>
    <row r="249" spans="1:9" x14ac:dyDescent="0.25">
      <c r="A249" t="s">
        <v>134</v>
      </c>
      <c r="B249" s="8">
        <v>55</v>
      </c>
      <c r="C249" s="7" t="s">
        <v>743</v>
      </c>
      <c r="D249" s="7" t="s">
        <v>15</v>
      </c>
      <c r="E249" s="6" t="str">
        <f>VLOOKUP(A249,COV!$1:$1048576,2,0)</f>
        <v>RJ47GA7183</v>
      </c>
      <c r="F249" s="17">
        <f>VLOOKUP(E249,DISTANCE!$1:$1048576,2,0)</f>
        <v>0.23055555555555557</v>
      </c>
      <c r="G249" s="17">
        <f>VLOOKUP(E249,DISTANCE!$1:$1048576,3,0)</f>
        <v>0.58750000000000002</v>
      </c>
      <c r="H249" s="18">
        <f>VLOOKUP(E249,DISTANCE!$1:$1048576,4,0)</f>
        <v>0.35754629629629631</v>
      </c>
      <c r="I249" s="7">
        <f>VLOOKUP(E249,DISTANCE!$1:$1048576,5,0)</f>
        <v>50.22</v>
      </c>
    </row>
    <row r="250" spans="1:9" x14ac:dyDescent="0.25">
      <c r="A250" t="s">
        <v>199</v>
      </c>
      <c r="B250" s="8">
        <v>56</v>
      </c>
      <c r="C250" s="7" t="s">
        <v>743</v>
      </c>
      <c r="D250" s="7" t="s">
        <v>15</v>
      </c>
      <c r="E250" s="6" t="str">
        <f>VLOOKUP(A250,COV!$1:$1048576,2,0)</f>
        <v>RJ47GA7184</v>
      </c>
      <c r="F250" s="17">
        <f>VLOOKUP(E250,DISTANCE!$1:$1048576,2,0)</f>
        <v>0.25208333333333333</v>
      </c>
      <c r="G250" s="17">
        <f>VLOOKUP(E250,DISTANCE!$1:$1048576,3,0)</f>
        <v>0.59444444444444444</v>
      </c>
      <c r="H250" s="18">
        <f>VLOOKUP(E250,DISTANCE!$1:$1048576,4,0)</f>
        <v>0.34262731481481479</v>
      </c>
      <c r="I250" s="7">
        <f>VLOOKUP(E250,DISTANCE!$1:$1048576,5,0)</f>
        <v>80.78</v>
      </c>
    </row>
    <row r="251" spans="1:9" x14ac:dyDescent="0.25">
      <c r="A251" t="s">
        <v>200</v>
      </c>
      <c r="B251" s="8">
        <v>57</v>
      </c>
      <c r="C251" s="7" t="s">
        <v>743</v>
      </c>
      <c r="D251" s="7" t="s">
        <v>15</v>
      </c>
      <c r="E251" s="6" t="str">
        <f>VLOOKUP(A251,COV!$1:$1048576,2,0)</f>
        <v>RJ47GA7190</v>
      </c>
      <c r="F251" s="17">
        <f>VLOOKUP(E251,DISTANCE!$1:$1048576,2,0)</f>
        <v>0.24166666666666667</v>
      </c>
      <c r="G251" s="17">
        <f>VLOOKUP(E251,DISTANCE!$1:$1048576,3,0)</f>
        <v>0.56874999999999998</v>
      </c>
      <c r="H251" s="18">
        <f>VLOOKUP(E251,DISTANCE!$1:$1048576,4,0)</f>
        <v>0.32700231481481479</v>
      </c>
      <c r="I251" s="7">
        <f>VLOOKUP(E251,DISTANCE!$1:$1048576,5,0)</f>
        <v>47.69</v>
      </c>
    </row>
    <row r="252" spans="1:9" x14ac:dyDescent="0.25">
      <c r="A252" t="s">
        <v>123</v>
      </c>
      <c r="B252" s="8">
        <v>58</v>
      </c>
      <c r="C252" s="7" t="s">
        <v>743</v>
      </c>
      <c r="D252" s="7" t="s">
        <v>15</v>
      </c>
      <c r="E252" s="6" t="str">
        <f>VLOOKUP(A252,COV!$1:$1048576,2,0)</f>
        <v>RJ47GA7237</v>
      </c>
      <c r="F252" s="17">
        <f>VLOOKUP(E252,DISTANCE!$1:$1048576,2,0)</f>
        <v>0.28194444444444444</v>
      </c>
      <c r="G252" s="17">
        <f>VLOOKUP(E252,DISTANCE!$1:$1048576,3,0)</f>
        <v>0.61527777777777781</v>
      </c>
      <c r="H252" s="18">
        <f>VLOOKUP(E252,DISTANCE!$1:$1048576,4,0)</f>
        <v>0.33363425925925927</v>
      </c>
      <c r="I252" s="7">
        <f>VLOOKUP(E252,DISTANCE!$1:$1048576,5,0)</f>
        <v>48.41</v>
      </c>
    </row>
    <row r="253" spans="1:9" x14ac:dyDescent="0.25">
      <c r="A253" t="s">
        <v>192</v>
      </c>
      <c r="B253" s="8">
        <v>59</v>
      </c>
      <c r="C253" s="7" t="s">
        <v>743</v>
      </c>
      <c r="D253" s="7" t="s">
        <v>9</v>
      </c>
      <c r="E253" s="6" t="str">
        <f>VLOOKUP(A253,COV!$1:$1048576,2,0)</f>
        <v>RJ47GA7278</v>
      </c>
      <c r="F253" s="17">
        <f>VLOOKUP(E253,DISTANCE!$1:$1048576,2,0)</f>
        <v>0.26944444444444443</v>
      </c>
      <c r="G253" s="17">
        <f>VLOOKUP(E253,DISTANCE!$1:$1048576,3,0)</f>
        <v>0.62083333333333335</v>
      </c>
      <c r="H253" s="18">
        <f>VLOOKUP(E253,DISTANCE!$1:$1048576,4,0)</f>
        <v>0.35130787037037037</v>
      </c>
      <c r="I253" s="7">
        <f>VLOOKUP(E253,DISTANCE!$1:$1048576,5,0)</f>
        <v>76.95</v>
      </c>
    </row>
    <row r="254" spans="1:9" x14ac:dyDescent="0.25">
      <c r="A254" t="s">
        <v>546</v>
      </c>
      <c r="B254" s="8">
        <v>60</v>
      </c>
      <c r="C254" s="7" t="s">
        <v>743</v>
      </c>
      <c r="D254" s="7" t="s">
        <v>9</v>
      </c>
      <c r="E254" s="6" t="str">
        <f>VLOOKUP(A254,COV!$1:$1048576,2,0)</f>
        <v>RJ47GA7281</v>
      </c>
      <c r="F254" s="17">
        <f>VLOOKUP(E254,DISTANCE!$1:$1048576,2,0)</f>
        <v>0.27152777777777776</v>
      </c>
      <c r="G254" s="17">
        <f>VLOOKUP(E254,DISTANCE!$1:$1048576,3,0)</f>
        <v>0.48749999999999999</v>
      </c>
      <c r="H254" s="18">
        <f>VLOOKUP(E254,DISTANCE!$1:$1048576,4,0)</f>
        <v>0.21635416666666665</v>
      </c>
      <c r="I254" s="7">
        <f>VLOOKUP(E254,DISTANCE!$1:$1048576,5,0)</f>
        <v>49.2</v>
      </c>
    </row>
    <row r="255" spans="1:9" x14ac:dyDescent="0.25">
      <c r="A255" t="s">
        <v>193</v>
      </c>
      <c r="B255" s="8">
        <v>61</v>
      </c>
      <c r="C255" s="7" t="s">
        <v>743</v>
      </c>
      <c r="D255" s="7" t="s">
        <v>9</v>
      </c>
      <c r="E255" s="6" t="str">
        <f>VLOOKUP(A255,COV!$1:$1048576,2,0)</f>
        <v>RJ47GA7244</v>
      </c>
      <c r="F255" s="17">
        <f>VLOOKUP(E255,DISTANCE!$1:$1048576,2,0)</f>
        <v>0.27291666666666664</v>
      </c>
      <c r="G255" s="17">
        <f>VLOOKUP(E255,DISTANCE!$1:$1048576,3,0)</f>
        <v>0.65833333333333333</v>
      </c>
      <c r="H255" s="18">
        <f>VLOOKUP(E255,DISTANCE!$1:$1048576,4,0)</f>
        <v>0.38555555555555554</v>
      </c>
      <c r="I255" s="7">
        <f>VLOOKUP(E255,DISTANCE!$1:$1048576,5,0)</f>
        <v>68.02</v>
      </c>
    </row>
    <row r="256" spans="1:9" x14ac:dyDescent="0.25">
      <c r="A256" t="s">
        <v>190</v>
      </c>
      <c r="B256" s="8">
        <v>62</v>
      </c>
      <c r="C256" s="7" t="s">
        <v>743</v>
      </c>
      <c r="D256" s="7" t="s">
        <v>9</v>
      </c>
      <c r="E256" s="6" t="str">
        <f>VLOOKUP(A256,COV!$1:$1048576,2,0)</f>
        <v>RJ47GA7334</v>
      </c>
      <c r="F256" s="17">
        <f>VLOOKUP(E256,DISTANCE!$1:$1048576,2,0)</f>
        <v>0.28402777777777777</v>
      </c>
      <c r="G256" s="17">
        <f>VLOOKUP(E256,DISTANCE!$1:$1048576,3,0)</f>
        <v>0.54791666666666672</v>
      </c>
      <c r="H256" s="18">
        <f>VLOOKUP(E256,DISTANCE!$1:$1048576,4,0)</f>
        <v>0.26359953703703703</v>
      </c>
      <c r="I256" s="7">
        <f>VLOOKUP(E256,DISTANCE!$1:$1048576,5,0)</f>
        <v>63.3</v>
      </c>
    </row>
    <row r="257" spans="1:9" x14ac:dyDescent="0.25">
      <c r="A257" t="s">
        <v>544</v>
      </c>
      <c r="B257" s="8">
        <v>63</v>
      </c>
      <c r="C257" s="7" t="s">
        <v>743</v>
      </c>
      <c r="D257" s="7" t="s">
        <v>9</v>
      </c>
      <c r="E257" s="6" t="str">
        <f>VLOOKUP(A257,COV!$1:$1048576,2,0)</f>
        <v>RJ47GA7240</v>
      </c>
      <c r="F257" s="17">
        <f>VLOOKUP(E257,DISTANCE!$1:$1048576,2,0)</f>
        <v>9.7222222222222224E-3</v>
      </c>
      <c r="G257" s="17">
        <f>VLOOKUP(E257,DISTANCE!$1:$1048576,3,0)</f>
        <v>0.65625</v>
      </c>
      <c r="H257" s="18">
        <f>VLOOKUP(E257,DISTANCE!$1:$1048576,4,0)</f>
        <v>0.64657407407407408</v>
      </c>
      <c r="I257" s="7">
        <f>VLOOKUP(E257,DISTANCE!$1:$1048576,5,0)</f>
        <v>54.38</v>
      </c>
    </row>
    <row r="258" spans="1:9" x14ac:dyDescent="0.25">
      <c r="A258" t="s">
        <v>545</v>
      </c>
      <c r="B258" s="8">
        <v>64</v>
      </c>
      <c r="C258" s="7" t="s">
        <v>743</v>
      </c>
      <c r="D258" s="7" t="s">
        <v>9</v>
      </c>
      <c r="E258" s="6" t="str">
        <f>VLOOKUP(A258,COV!$1:$1048576,2,0)</f>
        <v>RJ47GA7246</v>
      </c>
      <c r="F258" s="17">
        <f>VLOOKUP(E258,DISTANCE!$1:$1048576,2,0)</f>
        <v>0.26527777777777778</v>
      </c>
      <c r="G258" s="17">
        <f>VLOOKUP(E258,DISTANCE!$1:$1048576,3,0)</f>
        <v>0.52638888888888891</v>
      </c>
      <c r="H258" s="18">
        <f>VLOOKUP(E258,DISTANCE!$1:$1048576,4,0)</f>
        <v>0.26112268518518517</v>
      </c>
      <c r="I258" s="7">
        <f>VLOOKUP(E258,DISTANCE!$1:$1048576,5,0)</f>
        <v>57</v>
      </c>
    </row>
    <row r="259" spans="1:9" x14ac:dyDescent="0.25">
      <c r="A259" t="s">
        <v>191</v>
      </c>
      <c r="B259" s="8">
        <v>65</v>
      </c>
      <c r="C259" s="7" t="s">
        <v>743</v>
      </c>
      <c r="D259" s="7" t="s">
        <v>9</v>
      </c>
      <c r="E259" s="6" t="str">
        <f>VLOOKUP(A259,COV!$1:$1048576,2,0)</f>
        <v>RJ47GA7287</v>
      </c>
      <c r="F259" s="17">
        <f>VLOOKUP(E259,DISTANCE!$1:$1048576,2,0)</f>
        <v>0.24305555555555555</v>
      </c>
      <c r="G259" s="17">
        <f>VLOOKUP(E259,DISTANCE!$1:$1048576,3,0)</f>
        <v>0.49722222222222223</v>
      </c>
      <c r="H259" s="18">
        <f>VLOOKUP(E259,DISTANCE!$1:$1048576,4,0)</f>
        <v>0.25458333333333333</v>
      </c>
      <c r="I259" s="7">
        <f>VLOOKUP(E259,DISTANCE!$1:$1048576,5,0)</f>
        <v>45.51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E632-C2B7-4AB8-BE35-CC0430AB1558}">
  <dimension ref="C120:H250"/>
  <sheetViews>
    <sheetView workbookViewId="0">
      <selection sqref="A1:XFD119"/>
    </sheetView>
  </sheetViews>
  <sheetFormatPr defaultRowHeight="15" x14ac:dyDescent="0.25"/>
  <cols>
    <col min="1" max="1" width="10.7109375" style="8" customWidth="1"/>
    <col min="2" max="2" width="34.42578125" style="8" customWidth="1"/>
    <col min="3" max="3" width="22.140625" bestFit="1" customWidth="1"/>
    <col min="4" max="4" width="15.7109375" customWidth="1"/>
    <col min="5" max="8" width="10.7109375" customWidth="1"/>
    <col min="9" max="16384" width="9.140625" style="8"/>
  </cols>
  <sheetData>
    <row r="120" s="8" customFormat="1" x14ac:dyDescent="0.25"/>
    <row r="121" s="8" customFormat="1" x14ac:dyDescent="0.25"/>
    <row r="122" s="8" customFormat="1" x14ac:dyDescent="0.25"/>
    <row r="123" s="8" customFormat="1" x14ac:dyDescent="0.25"/>
    <row r="124" s="8" customFormat="1" x14ac:dyDescent="0.25"/>
    <row r="125" s="8" customFormat="1" x14ac:dyDescent="0.25"/>
    <row r="126" s="8" customFormat="1" x14ac:dyDescent="0.25"/>
    <row r="127" s="8" customFormat="1" x14ac:dyDescent="0.25"/>
    <row r="128" s="8" customFormat="1" x14ac:dyDescent="0.25"/>
    <row r="129" s="8" customFormat="1" x14ac:dyDescent="0.25"/>
    <row r="130" s="8" customFormat="1" x14ac:dyDescent="0.25"/>
    <row r="131" s="8" customFormat="1" x14ac:dyDescent="0.25"/>
    <row r="132" s="8" customFormat="1" x14ac:dyDescent="0.25"/>
    <row r="133" s="8" customFormat="1" x14ac:dyDescent="0.25"/>
    <row r="134" s="8" customFormat="1" x14ac:dyDescent="0.25"/>
    <row r="135" s="8" customFormat="1" x14ac:dyDescent="0.25"/>
    <row r="136" s="8" customFormat="1" x14ac:dyDescent="0.25"/>
    <row r="137" s="8" customFormat="1" x14ac:dyDescent="0.25"/>
    <row r="138" s="8" customFormat="1" x14ac:dyDescent="0.25"/>
    <row r="139" s="8" customFormat="1" x14ac:dyDescent="0.25"/>
    <row r="140" s="8" customFormat="1" x14ac:dyDescent="0.25"/>
    <row r="141" s="8" customFormat="1" x14ac:dyDescent="0.25"/>
    <row r="142" s="8" customFormat="1" x14ac:dyDescent="0.25"/>
    <row r="143" s="8" customFormat="1" x14ac:dyDescent="0.25"/>
    <row r="144" s="8" customFormat="1" x14ac:dyDescent="0.25"/>
    <row r="145" s="8" customFormat="1" x14ac:dyDescent="0.25"/>
    <row r="146" s="8" customFormat="1" x14ac:dyDescent="0.25"/>
    <row r="147" s="8" customFormat="1" x14ac:dyDescent="0.25"/>
    <row r="148" s="8" customFormat="1" x14ac:dyDescent="0.25"/>
    <row r="149" s="8" customFormat="1" x14ac:dyDescent="0.25"/>
    <row r="150" s="8" customFormat="1" x14ac:dyDescent="0.25"/>
    <row r="151" s="8" customFormat="1" x14ac:dyDescent="0.25"/>
    <row r="152" s="8" customFormat="1" x14ac:dyDescent="0.25"/>
    <row r="153" s="8" customFormat="1" x14ac:dyDescent="0.25"/>
    <row r="154" s="8" customFormat="1" x14ac:dyDescent="0.25"/>
    <row r="155" s="8" customFormat="1" x14ac:dyDescent="0.25"/>
    <row r="156" s="8" customFormat="1" x14ac:dyDescent="0.25"/>
    <row r="157" s="8" customFormat="1" x14ac:dyDescent="0.25"/>
    <row r="158" s="8" customFormat="1" x14ac:dyDescent="0.25"/>
    <row r="159" s="8" customFormat="1" x14ac:dyDescent="0.25"/>
    <row r="160" s="8" customFormat="1" x14ac:dyDescent="0.25"/>
    <row r="161" s="8" customFormat="1" x14ac:dyDescent="0.25"/>
    <row r="162" s="8" customFormat="1" x14ac:dyDescent="0.25"/>
    <row r="163" s="8" customFormat="1" x14ac:dyDescent="0.25"/>
    <row r="164" s="8" customFormat="1" x14ac:dyDescent="0.25"/>
    <row r="165" s="8" customFormat="1" x14ac:dyDescent="0.25"/>
    <row r="166" s="8" customFormat="1" x14ac:dyDescent="0.25"/>
    <row r="167" s="8" customFormat="1" x14ac:dyDescent="0.25"/>
    <row r="168" s="8" customFormat="1" x14ac:dyDescent="0.25"/>
    <row r="169" s="8" customFormat="1" x14ac:dyDescent="0.25"/>
    <row r="170" s="8" customFormat="1" x14ac:dyDescent="0.25"/>
    <row r="171" s="8" customFormat="1" x14ac:dyDescent="0.25"/>
    <row r="172" s="8" customFormat="1" x14ac:dyDescent="0.25"/>
    <row r="173" s="8" customFormat="1" x14ac:dyDescent="0.25"/>
    <row r="174" s="8" customFormat="1" x14ac:dyDescent="0.25"/>
    <row r="175" s="8" customFormat="1" x14ac:dyDescent="0.25"/>
    <row r="176" s="8" customFormat="1" x14ac:dyDescent="0.25"/>
    <row r="177" s="8" customFormat="1" x14ac:dyDescent="0.25"/>
    <row r="178" s="8" customFormat="1" x14ac:dyDescent="0.25"/>
    <row r="179" s="8" customFormat="1" x14ac:dyDescent="0.25"/>
    <row r="180" s="8" customFormat="1" x14ac:dyDescent="0.25"/>
    <row r="181" s="8" customFormat="1" x14ac:dyDescent="0.25"/>
    <row r="182" s="8" customFormat="1" x14ac:dyDescent="0.25"/>
    <row r="183" s="8" customFormat="1" x14ac:dyDescent="0.25"/>
    <row r="184" s="8" customFormat="1" x14ac:dyDescent="0.25"/>
    <row r="185" s="8" customFormat="1" x14ac:dyDescent="0.25"/>
    <row r="186" s="8" customFormat="1" x14ac:dyDescent="0.25"/>
    <row r="187" s="8" customFormat="1" x14ac:dyDescent="0.25"/>
    <row r="188" s="8" customFormat="1" x14ac:dyDescent="0.25"/>
    <row r="189" s="8" customFormat="1" x14ac:dyDescent="0.25"/>
    <row r="190" s="8" customFormat="1" x14ac:dyDescent="0.25"/>
    <row r="191" s="8" customFormat="1" x14ac:dyDescent="0.25"/>
    <row r="192" s="8" customFormat="1" x14ac:dyDescent="0.25"/>
    <row r="193" s="8" customFormat="1" x14ac:dyDescent="0.25"/>
    <row r="194" s="8" customFormat="1" x14ac:dyDescent="0.25"/>
    <row r="195" s="8" customFormat="1" x14ac:dyDescent="0.25"/>
    <row r="196" s="8" customFormat="1" x14ac:dyDescent="0.25"/>
    <row r="197" s="8" customFormat="1" x14ac:dyDescent="0.25"/>
    <row r="198" s="8" customFormat="1" x14ac:dyDescent="0.25"/>
    <row r="199" s="8" customFormat="1" x14ac:dyDescent="0.25"/>
    <row r="200" s="8" customFormat="1" x14ac:dyDescent="0.25"/>
    <row r="201" s="8" customFormat="1" x14ac:dyDescent="0.25"/>
    <row r="202" s="8" customFormat="1" x14ac:dyDescent="0.25"/>
    <row r="203" s="8" customFormat="1" x14ac:dyDescent="0.25"/>
    <row r="204" s="8" customFormat="1" x14ac:dyDescent="0.25"/>
    <row r="205" s="8" customFormat="1" x14ac:dyDescent="0.25"/>
    <row r="206" s="8" customFormat="1" x14ac:dyDescent="0.25"/>
    <row r="207" s="8" customFormat="1" x14ac:dyDescent="0.25"/>
    <row r="208" s="8" customFormat="1" x14ac:dyDescent="0.25"/>
    <row r="209" s="8" customFormat="1" x14ac:dyDescent="0.25"/>
    <row r="210" s="8" customFormat="1" x14ac:dyDescent="0.25"/>
    <row r="211" s="8" customFormat="1" x14ac:dyDescent="0.25"/>
    <row r="212" s="8" customFormat="1" x14ac:dyDescent="0.25"/>
    <row r="213" s="8" customFormat="1" x14ac:dyDescent="0.25"/>
    <row r="214" s="8" customFormat="1" x14ac:dyDescent="0.25"/>
    <row r="215" s="8" customFormat="1" x14ac:dyDescent="0.25"/>
    <row r="216" s="8" customFormat="1" x14ac:dyDescent="0.25"/>
    <row r="217" s="8" customFormat="1" x14ac:dyDescent="0.25"/>
    <row r="218" s="8" customFormat="1" x14ac:dyDescent="0.25"/>
    <row r="219" s="8" customFormat="1" x14ac:dyDescent="0.25"/>
    <row r="220" s="8" customFormat="1" x14ac:dyDescent="0.25"/>
    <row r="221" s="8" customFormat="1" x14ac:dyDescent="0.25"/>
    <row r="222" s="8" customFormat="1" x14ac:dyDescent="0.25"/>
    <row r="223" s="8" customFormat="1" x14ac:dyDescent="0.25"/>
    <row r="224" s="8" customFormat="1" x14ac:dyDescent="0.25"/>
    <row r="225" s="8" customFormat="1" x14ac:dyDescent="0.25"/>
    <row r="226" s="8" customFormat="1" x14ac:dyDescent="0.25"/>
    <row r="227" s="8" customFormat="1" x14ac:dyDescent="0.25"/>
    <row r="228" s="8" customFormat="1" x14ac:dyDescent="0.25"/>
    <row r="229" s="8" customFormat="1" x14ac:dyDescent="0.25"/>
    <row r="230" s="8" customFormat="1" x14ac:dyDescent="0.25"/>
    <row r="231" s="8" customFormat="1" x14ac:dyDescent="0.25"/>
    <row r="232" s="8" customFormat="1" x14ac:dyDescent="0.25"/>
    <row r="233" s="8" customFormat="1" x14ac:dyDescent="0.25"/>
    <row r="234" s="8" customFormat="1" x14ac:dyDescent="0.25"/>
    <row r="235" s="8" customFormat="1" x14ac:dyDescent="0.25"/>
    <row r="236" s="8" customFormat="1" x14ac:dyDescent="0.25"/>
    <row r="237" s="8" customFormat="1" x14ac:dyDescent="0.25"/>
    <row r="238" s="8" customFormat="1" x14ac:dyDescent="0.25"/>
    <row r="239" s="8" customFormat="1" x14ac:dyDescent="0.25"/>
    <row r="240" s="8" customFormat="1" x14ac:dyDescent="0.25"/>
    <row r="241" s="8" customFormat="1" x14ac:dyDescent="0.25"/>
    <row r="242" s="8" customFormat="1" x14ac:dyDescent="0.25"/>
    <row r="243" s="8" customFormat="1" x14ac:dyDescent="0.25"/>
    <row r="244" s="8" customFormat="1" x14ac:dyDescent="0.25"/>
    <row r="245" s="8" customFormat="1" x14ac:dyDescent="0.25"/>
    <row r="246" s="8" customFormat="1" x14ac:dyDescent="0.25"/>
    <row r="247" s="8" customFormat="1" x14ac:dyDescent="0.25"/>
    <row r="248" s="8" customFormat="1" x14ac:dyDescent="0.25"/>
    <row r="249" s="8" customFormat="1" x14ac:dyDescent="0.25"/>
    <row r="250" s="8" customFormat="1" x14ac:dyDescent="0.25"/>
  </sheetData>
  <sortState xmlns:xlrd2="http://schemas.microsoft.com/office/spreadsheetml/2017/richdata2" ref="A1:H267">
    <sortCondition ref="B37:B26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CAC6-3585-462F-9FD8-9B18152CFDA6}">
  <sheetPr>
    <pageSetUpPr fitToPage="1"/>
  </sheetPr>
  <dimension ref="A1:H127"/>
  <sheetViews>
    <sheetView topLeftCell="A99" workbookViewId="0">
      <selection activeCell="D20" sqref="D20"/>
    </sheetView>
  </sheetViews>
  <sheetFormatPr defaultRowHeight="15" x14ac:dyDescent="0.25"/>
  <cols>
    <col min="1" max="1" width="9.140625" style="10"/>
    <col min="2" max="2" width="31.28515625" style="10" bestFit="1" customWidth="1"/>
    <col min="3" max="3" width="22.7109375" style="10" customWidth="1"/>
    <col min="4" max="4" width="16.5703125" style="10" bestFit="1" customWidth="1"/>
    <col min="5" max="6" width="10.85546875" style="10" customWidth="1"/>
    <col min="7" max="7" width="12" style="10" bestFit="1" customWidth="1"/>
    <col min="8" max="8" width="13.28515625" style="10" bestFit="1" customWidth="1"/>
    <col min="9" max="16384" width="9.140625" style="10"/>
  </cols>
  <sheetData>
    <row r="1" spans="1:8" x14ac:dyDescent="0.25">
      <c r="A1" s="81">
        <f ca="1">TODAY()</f>
        <v>46178</v>
      </c>
      <c r="B1" s="81"/>
      <c r="C1" s="81"/>
      <c r="D1" s="81"/>
      <c r="E1" s="81"/>
      <c r="F1" s="81"/>
      <c r="G1" s="81"/>
      <c r="H1" s="81"/>
    </row>
    <row r="2" spans="1:8" x14ac:dyDescent="0.25">
      <c r="A2" s="82" t="s">
        <v>744</v>
      </c>
      <c r="B2" s="82"/>
      <c r="C2" s="82"/>
      <c r="D2" s="82"/>
      <c r="E2" s="82"/>
      <c r="F2" s="82"/>
      <c r="G2" s="82"/>
      <c r="H2" s="82"/>
    </row>
    <row r="3" spans="1:8" x14ac:dyDescent="0.25">
      <c r="A3" s="36" t="s">
        <v>142</v>
      </c>
      <c r="B3" s="36" t="s">
        <v>745</v>
      </c>
      <c r="C3" s="36" t="s">
        <v>0</v>
      </c>
      <c r="D3" s="36" t="s">
        <v>139</v>
      </c>
      <c r="E3" s="36" t="s">
        <v>746</v>
      </c>
      <c r="F3" s="36" t="s">
        <v>747</v>
      </c>
      <c r="G3" s="36" t="s">
        <v>748</v>
      </c>
      <c r="H3" s="36" t="s">
        <v>749</v>
      </c>
    </row>
    <row r="4" spans="1:8" s="8" customFormat="1" x14ac:dyDescent="0.25">
      <c r="A4" s="40">
        <v>1</v>
      </c>
      <c r="B4" s="41" t="s">
        <v>740</v>
      </c>
      <c r="C4" s="41" t="s">
        <v>397</v>
      </c>
      <c r="D4" s="40" t="s">
        <v>52</v>
      </c>
      <c r="E4" s="42">
        <v>0.28263888888888888</v>
      </c>
      <c r="F4" s="42">
        <v>0.42222222222222222</v>
      </c>
      <c r="G4" s="43">
        <v>0.14006944444444444</v>
      </c>
      <c r="H4" s="41">
        <v>21.61</v>
      </c>
    </row>
    <row r="5" spans="1:8" s="8" customFormat="1" x14ac:dyDescent="0.25">
      <c r="A5" s="40">
        <v>2</v>
      </c>
      <c r="B5" s="41" t="s">
        <v>740</v>
      </c>
      <c r="C5" s="41" t="s">
        <v>412</v>
      </c>
      <c r="D5" s="40" t="s">
        <v>54</v>
      </c>
      <c r="E5" s="42">
        <v>0.30902777777777779</v>
      </c>
      <c r="F5" s="42">
        <v>0.44236111111111109</v>
      </c>
      <c r="G5" s="43">
        <v>0.13342592592592592</v>
      </c>
      <c r="H5" s="41">
        <v>24.45</v>
      </c>
    </row>
    <row r="6" spans="1:8" s="8" customFormat="1" x14ac:dyDescent="0.25">
      <c r="A6" s="40">
        <v>3</v>
      </c>
      <c r="B6" s="41" t="s">
        <v>740</v>
      </c>
      <c r="C6" s="41" t="s">
        <v>412</v>
      </c>
      <c r="D6" s="40" t="s">
        <v>946</v>
      </c>
      <c r="E6" s="42">
        <v>0.2638888888888889</v>
      </c>
      <c r="F6" s="42">
        <v>0.44305555555555554</v>
      </c>
      <c r="G6" s="43">
        <v>0.17905092592592592</v>
      </c>
      <c r="H6" s="41">
        <v>44.12</v>
      </c>
    </row>
    <row r="7" spans="1:8" s="8" customFormat="1" x14ac:dyDescent="0.25">
      <c r="A7" s="40">
        <v>4</v>
      </c>
      <c r="B7" s="41" t="s">
        <v>740</v>
      </c>
      <c r="C7" s="41" t="s">
        <v>422</v>
      </c>
      <c r="D7" s="40" t="s">
        <v>50</v>
      </c>
      <c r="E7" s="42">
        <v>0.3034722222222222</v>
      </c>
      <c r="F7" s="42">
        <v>0.44374999999999998</v>
      </c>
      <c r="G7" s="43">
        <v>0.14047453703703705</v>
      </c>
      <c r="H7" s="41">
        <v>33.42</v>
      </c>
    </row>
    <row r="8" spans="1:8" s="8" customFormat="1" x14ac:dyDescent="0.25">
      <c r="A8" s="40">
        <v>5</v>
      </c>
      <c r="B8" s="41" t="s">
        <v>740</v>
      </c>
      <c r="C8" s="41" t="s">
        <v>421</v>
      </c>
      <c r="D8" s="40" t="s">
        <v>37</v>
      </c>
      <c r="E8" s="42">
        <v>0.30069444444444443</v>
      </c>
      <c r="F8" s="42">
        <v>0.4465277777777778</v>
      </c>
      <c r="G8" s="43">
        <v>0.14592592592592593</v>
      </c>
      <c r="H8" s="41">
        <v>29.16</v>
      </c>
    </row>
    <row r="9" spans="1:8" s="8" customFormat="1" x14ac:dyDescent="0.25">
      <c r="A9" s="40">
        <v>6</v>
      </c>
      <c r="B9" s="41" t="s">
        <v>740</v>
      </c>
      <c r="C9" s="41" t="s">
        <v>422</v>
      </c>
      <c r="D9" s="40" t="s">
        <v>80</v>
      </c>
      <c r="E9" s="42">
        <v>0.27777777777777779</v>
      </c>
      <c r="F9" s="42">
        <v>0.44930555555555557</v>
      </c>
      <c r="G9" s="43">
        <v>0.17097222222222222</v>
      </c>
      <c r="H9" s="41">
        <v>28.32</v>
      </c>
    </row>
    <row r="10" spans="1:8" s="8" customFormat="1" x14ac:dyDescent="0.25">
      <c r="A10" s="40">
        <v>7</v>
      </c>
      <c r="B10" s="41" t="s">
        <v>740</v>
      </c>
      <c r="C10" s="41" t="s">
        <v>410</v>
      </c>
      <c r="D10" s="40" t="s">
        <v>962</v>
      </c>
      <c r="E10" s="42">
        <v>0.25416666666666665</v>
      </c>
      <c r="F10" s="42">
        <v>0.4513888888888889</v>
      </c>
      <c r="G10" s="43">
        <v>0.19715277777777779</v>
      </c>
      <c r="H10" s="41">
        <v>18.03</v>
      </c>
    </row>
    <row r="11" spans="1:8" s="8" customFormat="1" x14ac:dyDescent="0.25">
      <c r="A11" s="45">
        <v>8</v>
      </c>
      <c r="B11" s="44" t="s">
        <v>740</v>
      </c>
      <c r="C11" s="44" t="s">
        <v>415</v>
      </c>
      <c r="D11" s="45" t="s">
        <v>1071</v>
      </c>
      <c r="E11" s="46">
        <v>0.28402777777777777</v>
      </c>
      <c r="F11" s="46">
        <v>0.46041666666666664</v>
      </c>
      <c r="G11" s="47">
        <v>0.17648148148148149</v>
      </c>
      <c r="H11" s="44">
        <v>25.72</v>
      </c>
    </row>
    <row r="12" spans="1:8" s="8" customFormat="1" x14ac:dyDescent="0.25">
      <c r="A12" s="45">
        <v>9</v>
      </c>
      <c r="B12" s="44" t="s">
        <v>740</v>
      </c>
      <c r="C12" s="44" t="s">
        <v>394</v>
      </c>
      <c r="D12" s="45" t="s">
        <v>7</v>
      </c>
      <c r="E12" s="46">
        <v>0.29583333333333334</v>
      </c>
      <c r="F12" s="46">
        <v>0.46458333333333335</v>
      </c>
      <c r="G12" s="47">
        <v>0.16864583333333333</v>
      </c>
      <c r="H12" s="44">
        <v>38.58</v>
      </c>
    </row>
    <row r="13" spans="1:8" s="8" customFormat="1" x14ac:dyDescent="0.25">
      <c r="A13" s="45">
        <v>10</v>
      </c>
      <c r="B13" s="44" t="s">
        <v>740</v>
      </c>
      <c r="C13" s="44" t="s">
        <v>414</v>
      </c>
      <c r="D13" s="45" t="s">
        <v>77</v>
      </c>
      <c r="E13" s="46">
        <v>0.3</v>
      </c>
      <c r="F13" s="46">
        <v>0.46527777777777779</v>
      </c>
      <c r="G13" s="47">
        <v>0.16575231481481481</v>
      </c>
      <c r="H13" s="44">
        <v>28.6</v>
      </c>
    </row>
    <row r="14" spans="1:8" s="8" customFormat="1" x14ac:dyDescent="0.25">
      <c r="A14" s="45">
        <v>11</v>
      </c>
      <c r="B14" s="44" t="s">
        <v>740</v>
      </c>
      <c r="C14" s="44" t="s">
        <v>406</v>
      </c>
      <c r="D14" s="45" t="s">
        <v>51</v>
      </c>
      <c r="E14" s="46">
        <v>0.24236111111111111</v>
      </c>
      <c r="F14" s="46">
        <v>0.46666666666666667</v>
      </c>
      <c r="G14" s="47">
        <v>0.22471064814814815</v>
      </c>
      <c r="H14" s="44">
        <v>38.67</v>
      </c>
    </row>
    <row r="15" spans="1:8" s="8" customFormat="1" x14ac:dyDescent="0.25">
      <c r="A15" s="45">
        <v>12</v>
      </c>
      <c r="B15" s="44" t="s">
        <v>740</v>
      </c>
      <c r="C15" s="44" t="s">
        <v>412</v>
      </c>
      <c r="D15" s="45" t="s">
        <v>35</v>
      </c>
      <c r="E15" s="46">
        <v>0.26805555555555555</v>
      </c>
      <c r="F15" s="46">
        <v>0.47222222222222221</v>
      </c>
      <c r="G15" s="47">
        <v>0.2044212962962963</v>
      </c>
      <c r="H15" s="44">
        <v>26.9</v>
      </c>
    </row>
    <row r="16" spans="1:8" s="8" customFormat="1" x14ac:dyDescent="0.25">
      <c r="A16" s="45">
        <v>13</v>
      </c>
      <c r="B16" s="44" t="s">
        <v>740</v>
      </c>
      <c r="C16" s="44" t="s">
        <v>406</v>
      </c>
      <c r="D16" s="45" t="s">
        <v>998</v>
      </c>
      <c r="E16" s="46">
        <v>0.29166666666666669</v>
      </c>
      <c r="F16" s="46">
        <v>0.47430555555555554</v>
      </c>
      <c r="G16" s="47">
        <v>0.1825</v>
      </c>
      <c r="H16" s="44">
        <v>27.8</v>
      </c>
    </row>
    <row r="17" spans="1:8" s="8" customFormat="1" x14ac:dyDescent="0.25">
      <c r="A17" s="45">
        <v>14</v>
      </c>
      <c r="B17" s="44" t="s">
        <v>740</v>
      </c>
      <c r="C17" s="44" t="s">
        <v>410</v>
      </c>
      <c r="D17" s="45" t="s">
        <v>1077</v>
      </c>
      <c r="E17" s="46">
        <v>0.27013888888888887</v>
      </c>
      <c r="F17" s="46">
        <v>0.47569444444444442</v>
      </c>
      <c r="G17" s="47">
        <v>0.20546296296296296</v>
      </c>
      <c r="H17" s="44">
        <v>20.260000000000002</v>
      </c>
    </row>
    <row r="18" spans="1:8" s="8" customFormat="1" x14ac:dyDescent="0.25">
      <c r="A18" s="45">
        <v>15</v>
      </c>
      <c r="B18" s="44" t="s">
        <v>740</v>
      </c>
      <c r="C18" s="44" t="s">
        <v>404</v>
      </c>
      <c r="D18" s="45" t="s">
        <v>116</v>
      </c>
      <c r="E18" s="46">
        <v>0.28194444444444444</v>
      </c>
      <c r="F18" s="46">
        <v>0.4826388888888889</v>
      </c>
      <c r="G18" s="47">
        <v>0.20040509259259259</v>
      </c>
      <c r="H18" s="44">
        <v>29.16</v>
      </c>
    </row>
    <row r="19" spans="1:8" s="8" customFormat="1" x14ac:dyDescent="0.25">
      <c r="A19" s="45">
        <v>16</v>
      </c>
      <c r="B19" s="44" t="s">
        <v>740</v>
      </c>
      <c r="C19" s="44" t="s">
        <v>398</v>
      </c>
      <c r="D19" s="45" t="s">
        <v>70</v>
      </c>
      <c r="E19" s="46">
        <v>0.27638888888888891</v>
      </c>
      <c r="F19" s="46">
        <v>0.48402777777777778</v>
      </c>
      <c r="G19" s="47">
        <v>0.20747685185185186</v>
      </c>
      <c r="H19" s="44">
        <v>28.24</v>
      </c>
    </row>
    <row r="20" spans="1:8" s="8" customFormat="1" x14ac:dyDescent="0.25">
      <c r="A20" s="45">
        <v>17</v>
      </c>
      <c r="B20" s="44" t="s">
        <v>740</v>
      </c>
      <c r="C20" s="44" t="s">
        <v>409</v>
      </c>
      <c r="D20" s="45" t="s">
        <v>1083</v>
      </c>
      <c r="E20" s="46">
        <v>0.26458333333333334</v>
      </c>
      <c r="F20" s="46">
        <v>0.48541666666666666</v>
      </c>
      <c r="G20" s="47">
        <v>0.22085648148148149</v>
      </c>
      <c r="H20" s="44">
        <v>31.14</v>
      </c>
    </row>
    <row r="21" spans="1:8" s="8" customFormat="1" x14ac:dyDescent="0.25">
      <c r="A21" s="45">
        <v>18</v>
      </c>
      <c r="B21" s="44" t="s">
        <v>740</v>
      </c>
      <c r="C21" s="44" t="s">
        <v>394</v>
      </c>
      <c r="D21" s="45" t="s">
        <v>22</v>
      </c>
      <c r="E21" s="46">
        <v>0.29722222222222222</v>
      </c>
      <c r="F21" s="46">
        <v>0.48888888888888887</v>
      </c>
      <c r="G21" s="47">
        <v>0.19137731481481482</v>
      </c>
      <c r="H21" s="44">
        <v>51.94</v>
      </c>
    </row>
    <row r="22" spans="1:8" s="8" customFormat="1" x14ac:dyDescent="0.25">
      <c r="A22" s="45">
        <v>19</v>
      </c>
      <c r="B22" s="44" t="s">
        <v>740</v>
      </c>
      <c r="C22" s="44" t="s">
        <v>413</v>
      </c>
      <c r="D22" s="45" t="s">
        <v>81</v>
      </c>
      <c r="E22" s="46">
        <v>0.30902777777777779</v>
      </c>
      <c r="F22" s="46">
        <v>0.49166666666666664</v>
      </c>
      <c r="G22" s="47">
        <v>0.18268518518518517</v>
      </c>
      <c r="H22" s="44">
        <v>25.18</v>
      </c>
    </row>
    <row r="23" spans="1:8" s="8" customFormat="1" x14ac:dyDescent="0.25">
      <c r="A23" s="45">
        <v>20</v>
      </c>
      <c r="B23" s="44" t="s">
        <v>740</v>
      </c>
      <c r="C23" s="44" t="s">
        <v>403</v>
      </c>
      <c r="D23" s="45" t="s">
        <v>92</v>
      </c>
      <c r="E23" s="46">
        <v>0.28819444444444442</v>
      </c>
      <c r="F23" s="46">
        <v>0.49166666666666664</v>
      </c>
      <c r="G23" s="47">
        <v>0.20347222222222222</v>
      </c>
      <c r="H23" s="44">
        <v>24.65</v>
      </c>
    </row>
    <row r="24" spans="1:8" s="8" customFormat="1" x14ac:dyDescent="0.25">
      <c r="A24" s="45">
        <v>21</v>
      </c>
      <c r="B24" s="44" t="s">
        <v>740</v>
      </c>
      <c r="C24" s="44" t="s">
        <v>397</v>
      </c>
      <c r="D24" s="45" t="s">
        <v>756</v>
      </c>
      <c r="E24" s="46">
        <v>0.29236111111111113</v>
      </c>
      <c r="F24" s="46">
        <v>0.49166666666666664</v>
      </c>
      <c r="G24" s="47">
        <v>0.199375</v>
      </c>
      <c r="H24" s="44">
        <v>21.67</v>
      </c>
    </row>
    <row r="25" spans="1:8" s="8" customFormat="1" x14ac:dyDescent="0.25">
      <c r="A25" s="45">
        <v>22</v>
      </c>
      <c r="B25" s="44" t="s">
        <v>740</v>
      </c>
      <c r="C25" s="44" t="s">
        <v>417</v>
      </c>
      <c r="D25" s="45" t="s">
        <v>1169</v>
      </c>
      <c r="E25" s="46">
        <v>0.24652777777777779</v>
      </c>
      <c r="F25" s="46">
        <v>0.49375000000000002</v>
      </c>
      <c r="G25" s="47">
        <v>0.24686342592592592</v>
      </c>
      <c r="H25" s="44">
        <v>39.18</v>
      </c>
    </row>
    <row r="26" spans="1:8" s="8" customFormat="1" x14ac:dyDescent="0.25">
      <c r="A26" s="45">
        <v>23</v>
      </c>
      <c r="B26" s="44" t="s">
        <v>740</v>
      </c>
      <c r="C26" s="44" t="s">
        <v>411</v>
      </c>
      <c r="D26" s="45" t="s">
        <v>890</v>
      </c>
      <c r="E26" s="46">
        <v>0.25</v>
      </c>
      <c r="F26" s="46">
        <v>0.49375000000000002</v>
      </c>
      <c r="G26" s="47">
        <v>0.24355324074074075</v>
      </c>
      <c r="H26" s="44">
        <v>53.75</v>
      </c>
    </row>
    <row r="27" spans="1:8" s="8" customFormat="1" x14ac:dyDescent="0.25">
      <c r="A27" s="6">
        <v>24</v>
      </c>
      <c r="B27" s="7" t="s">
        <v>740</v>
      </c>
      <c r="C27" s="7" t="s">
        <v>395</v>
      </c>
      <c r="D27" s="6" t="s">
        <v>984</v>
      </c>
      <c r="E27" s="17">
        <v>0.29722222222222222</v>
      </c>
      <c r="F27" s="17">
        <v>0.50069444444444444</v>
      </c>
      <c r="G27" s="18">
        <v>0.20358796296296297</v>
      </c>
      <c r="H27" s="7">
        <v>20.28</v>
      </c>
    </row>
    <row r="28" spans="1:8" s="8" customFormat="1" x14ac:dyDescent="0.25">
      <c r="A28" s="6">
        <v>25</v>
      </c>
      <c r="B28" s="7" t="s">
        <v>740</v>
      </c>
      <c r="C28" s="7" t="s">
        <v>403</v>
      </c>
      <c r="D28" s="6" t="s">
        <v>72</v>
      </c>
      <c r="E28" s="17">
        <v>0.31805555555555554</v>
      </c>
      <c r="F28" s="17">
        <v>0.50138888888888888</v>
      </c>
      <c r="G28" s="18">
        <v>0.18313657407407408</v>
      </c>
      <c r="H28" s="7">
        <v>22.58</v>
      </c>
    </row>
    <row r="29" spans="1:8" s="8" customFormat="1" x14ac:dyDescent="0.25">
      <c r="A29" s="6">
        <v>26</v>
      </c>
      <c r="B29" s="7" t="s">
        <v>740</v>
      </c>
      <c r="C29" s="7" t="s">
        <v>405</v>
      </c>
      <c r="D29" s="6" t="s">
        <v>1164</v>
      </c>
      <c r="E29" s="17">
        <v>0.30902777777777779</v>
      </c>
      <c r="F29" s="17">
        <v>0.50347222222222221</v>
      </c>
      <c r="G29" s="18">
        <v>0.19422453703703704</v>
      </c>
      <c r="H29" s="7">
        <v>44.61</v>
      </c>
    </row>
    <row r="30" spans="1:8" s="8" customFormat="1" x14ac:dyDescent="0.25">
      <c r="A30" s="6">
        <v>27</v>
      </c>
      <c r="B30" s="7" t="s">
        <v>740</v>
      </c>
      <c r="C30" s="7" t="s">
        <v>407</v>
      </c>
      <c r="D30" s="6" t="s">
        <v>108</v>
      </c>
      <c r="E30" s="17">
        <v>0.26874999999999999</v>
      </c>
      <c r="F30" s="17">
        <v>0.50486111111111109</v>
      </c>
      <c r="G30" s="18">
        <v>0.23624999999999999</v>
      </c>
      <c r="H30" s="7">
        <v>27.57</v>
      </c>
    </row>
    <row r="31" spans="1:8" s="8" customFormat="1" x14ac:dyDescent="0.25">
      <c r="A31" s="6">
        <v>28</v>
      </c>
      <c r="B31" s="7" t="s">
        <v>740</v>
      </c>
      <c r="C31" s="7" t="s">
        <v>413</v>
      </c>
      <c r="D31" s="6" t="s">
        <v>61</v>
      </c>
      <c r="E31" s="17">
        <v>0.29791666666666666</v>
      </c>
      <c r="F31" s="17">
        <v>0.50694444444444442</v>
      </c>
      <c r="G31" s="18">
        <v>0.20840277777777777</v>
      </c>
      <c r="H31" s="7">
        <v>26.79</v>
      </c>
    </row>
    <row r="32" spans="1:8" s="8" customFormat="1" x14ac:dyDescent="0.25">
      <c r="A32" s="6">
        <v>29</v>
      </c>
      <c r="B32" s="7" t="s">
        <v>740</v>
      </c>
      <c r="C32" s="7" t="s">
        <v>419</v>
      </c>
      <c r="D32" s="6" t="s">
        <v>32</v>
      </c>
      <c r="E32" s="17">
        <v>0.21805555555555556</v>
      </c>
      <c r="F32" s="17">
        <v>0.50972222222222219</v>
      </c>
      <c r="G32" s="18">
        <v>0.29144675925925928</v>
      </c>
      <c r="H32" s="7">
        <v>36.75</v>
      </c>
    </row>
    <row r="33" spans="1:8" s="8" customFormat="1" x14ac:dyDescent="0.25">
      <c r="A33" s="6">
        <v>30</v>
      </c>
      <c r="B33" s="7" t="s">
        <v>740</v>
      </c>
      <c r="C33" s="7" t="s">
        <v>395</v>
      </c>
      <c r="D33" s="6" t="s">
        <v>75</v>
      </c>
      <c r="E33" s="17">
        <v>0.22361111111111112</v>
      </c>
      <c r="F33" s="17">
        <v>0.51041666666666663</v>
      </c>
      <c r="G33" s="18">
        <v>0.28677083333333331</v>
      </c>
      <c r="H33" s="7">
        <v>23.05</v>
      </c>
    </row>
    <row r="34" spans="1:8" s="8" customFormat="1" x14ac:dyDescent="0.25">
      <c r="A34" s="6">
        <v>31</v>
      </c>
      <c r="B34" s="7" t="s">
        <v>740</v>
      </c>
      <c r="C34" s="7" t="s">
        <v>394</v>
      </c>
      <c r="D34" s="6" t="s">
        <v>1160</v>
      </c>
      <c r="E34" s="17">
        <v>0.23958333333333334</v>
      </c>
      <c r="F34" s="17">
        <v>0.51111111111111107</v>
      </c>
      <c r="G34" s="18">
        <v>0.27108796296296295</v>
      </c>
      <c r="H34" s="7">
        <v>47.04</v>
      </c>
    </row>
    <row r="35" spans="1:8" s="8" customFormat="1" x14ac:dyDescent="0.25">
      <c r="A35" s="6">
        <v>32</v>
      </c>
      <c r="B35" s="7" t="s">
        <v>740</v>
      </c>
      <c r="C35" s="7" t="s">
        <v>408</v>
      </c>
      <c r="D35" s="6" t="s">
        <v>59</v>
      </c>
      <c r="E35" s="17">
        <v>4.1666666666666664E-2</v>
      </c>
      <c r="F35" s="17">
        <v>0.51180555555555551</v>
      </c>
      <c r="G35" s="18">
        <v>0.46984953703703702</v>
      </c>
      <c r="H35" s="7">
        <v>38.49</v>
      </c>
    </row>
    <row r="36" spans="1:8" s="8" customFormat="1" x14ac:dyDescent="0.25">
      <c r="A36" s="6">
        <v>33</v>
      </c>
      <c r="B36" s="7" t="s">
        <v>740</v>
      </c>
      <c r="C36" s="7" t="s">
        <v>418</v>
      </c>
      <c r="D36" s="6" t="s">
        <v>1059</v>
      </c>
      <c r="E36" s="17">
        <v>0.27986111111111112</v>
      </c>
      <c r="F36" s="17">
        <v>0.5131944444444444</v>
      </c>
      <c r="G36" s="18">
        <v>0.2328587962962963</v>
      </c>
      <c r="H36" s="7">
        <v>22.58</v>
      </c>
    </row>
    <row r="37" spans="1:8" s="8" customFormat="1" x14ac:dyDescent="0.25">
      <c r="A37" s="6">
        <v>34</v>
      </c>
      <c r="B37" s="7" t="s">
        <v>740</v>
      </c>
      <c r="C37" s="7" t="s">
        <v>411</v>
      </c>
      <c r="D37" s="6" t="s">
        <v>20</v>
      </c>
      <c r="E37" s="17">
        <v>0.27638888888888891</v>
      </c>
      <c r="F37" s="17">
        <v>0.51458333333333328</v>
      </c>
      <c r="G37" s="18">
        <v>0.23824074074074075</v>
      </c>
      <c r="H37" s="7">
        <v>41.69</v>
      </c>
    </row>
    <row r="38" spans="1:8" s="8" customFormat="1" x14ac:dyDescent="0.25">
      <c r="A38" s="6">
        <v>35</v>
      </c>
      <c r="B38" s="7" t="s">
        <v>740</v>
      </c>
      <c r="C38" s="7" t="s">
        <v>398</v>
      </c>
      <c r="D38" s="6" t="s">
        <v>89</v>
      </c>
      <c r="E38" s="17">
        <v>0.29583333333333334</v>
      </c>
      <c r="F38" s="17">
        <v>0.51597222222222228</v>
      </c>
      <c r="G38" s="18">
        <v>0.22027777777777777</v>
      </c>
      <c r="H38" s="7">
        <v>29.9</v>
      </c>
    </row>
    <row r="39" spans="1:8" s="8" customFormat="1" x14ac:dyDescent="0.25">
      <c r="A39" s="6">
        <v>36</v>
      </c>
      <c r="B39" s="7" t="s">
        <v>740</v>
      </c>
      <c r="C39" s="7" t="s">
        <v>394</v>
      </c>
      <c r="D39" s="6" t="s">
        <v>1087</v>
      </c>
      <c r="E39" s="17">
        <v>0.25138888888888888</v>
      </c>
      <c r="F39" s="17">
        <v>0.51666666666666672</v>
      </c>
      <c r="G39" s="18">
        <v>0.26530092592592591</v>
      </c>
      <c r="H39" s="7">
        <v>33.43</v>
      </c>
    </row>
    <row r="40" spans="1:8" s="8" customFormat="1" x14ac:dyDescent="0.25">
      <c r="A40" s="6">
        <v>37</v>
      </c>
      <c r="B40" s="7" t="s">
        <v>740</v>
      </c>
      <c r="C40" s="7" t="s">
        <v>400</v>
      </c>
      <c r="D40" s="6" t="s">
        <v>1033</v>
      </c>
      <c r="E40" s="17">
        <v>0.28402777777777777</v>
      </c>
      <c r="F40" s="17">
        <v>0.51736111111111116</v>
      </c>
      <c r="G40" s="18">
        <v>0.23363425925925926</v>
      </c>
      <c r="H40" s="7">
        <v>33.450000000000003</v>
      </c>
    </row>
    <row r="41" spans="1:8" s="8" customFormat="1" x14ac:dyDescent="0.25">
      <c r="A41" s="6">
        <v>38</v>
      </c>
      <c r="B41" s="7" t="s">
        <v>740</v>
      </c>
      <c r="C41" s="7" t="s">
        <v>411</v>
      </c>
      <c r="D41" s="6" t="s">
        <v>17</v>
      </c>
      <c r="E41" s="17">
        <v>0.25972222222222224</v>
      </c>
      <c r="F41" s="17">
        <v>0.51875000000000004</v>
      </c>
      <c r="G41" s="18">
        <v>0.25917824074074075</v>
      </c>
      <c r="H41" s="7">
        <v>60.25</v>
      </c>
    </row>
    <row r="42" spans="1:8" s="8" customFormat="1" x14ac:dyDescent="0.25">
      <c r="A42" s="6">
        <v>39</v>
      </c>
      <c r="B42" s="7" t="s">
        <v>740</v>
      </c>
      <c r="C42" s="7" t="s">
        <v>401</v>
      </c>
      <c r="D42" s="6" t="s">
        <v>1139</v>
      </c>
      <c r="E42" s="17">
        <v>0.3</v>
      </c>
      <c r="F42" s="17">
        <v>0.52361111111111114</v>
      </c>
      <c r="G42" s="18">
        <v>0.22322916666666667</v>
      </c>
      <c r="H42" s="7">
        <v>37.69</v>
      </c>
    </row>
    <row r="43" spans="1:8" s="8" customFormat="1" x14ac:dyDescent="0.25">
      <c r="A43" s="6">
        <v>40</v>
      </c>
      <c r="B43" s="7" t="s">
        <v>740</v>
      </c>
      <c r="C43" s="7" t="s">
        <v>402</v>
      </c>
      <c r="D43" s="6" t="s">
        <v>1129</v>
      </c>
      <c r="E43" s="17">
        <v>0.28819444444444442</v>
      </c>
      <c r="F43" s="17">
        <v>0.52430555555555558</v>
      </c>
      <c r="G43" s="18">
        <v>0.23644675925925926</v>
      </c>
      <c r="H43" s="7">
        <v>43.16</v>
      </c>
    </row>
    <row r="44" spans="1:8" s="8" customFormat="1" x14ac:dyDescent="0.25">
      <c r="A44" s="6">
        <v>41</v>
      </c>
      <c r="B44" s="7" t="s">
        <v>740</v>
      </c>
      <c r="C44" s="7" t="s">
        <v>404</v>
      </c>
      <c r="D44" s="6" t="s">
        <v>1043</v>
      </c>
      <c r="E44" s="17">
        <v>0.26111111111111113</v>
      </c>
      <c r="F44" s="17">
        <v>0.52708333333333335</v>
      </c>
      <c r="G44" s="18">
        <v>0.26590277777777777</v>
      </c>
      <c r="H44" s="7">
        <v>36.11</v>
      </c>
    </row>
    <row r="45" spans="1:8" s="8" customFormat="1" x14ac:dyDescent="0.25">
      <c r="A45" s="6">
        <v>42</v>
      </c>
      <c r="B45" s="7" t="s">
        <v>740</v>
      </c>
      <c r="C45" s="7" t="s">
        <v>396</v>
      </c>
      <c r="D45" s="6" t="s">
        <v>91</v>
      </c>
      <c r="E45" s="17">
        <v>0.28611111111111109</v>
      </c>
      <c r="F45" s="17">
        <v>0.52916666666666667</v>
      </c>
      <c r="G45" s="18">
        <v>0.24309027777777778</v>
      </c>
      <c r="H45" s="7">
        <v>23.2</v>
      </c>
    </row>
    <row r="46" spans="1:8" s="8" customFormat="1" x14ac:dyDescent="0.25">
      <c r="A46" s="6">
        <v>43</v>
      </c>
      <c r="B46" s="7" t="s">
        <v>740</v>
      </c>
      <c r="C46" s="7" t="s">
        <v>422</v>
      </c>
      <c r="D46" s="6" t="s">
        <v>1115</v>
      </c>
      <c r="E46" s="17">
        <v>0.2722222222222222</v>
      </c>
      <c r="F46" s="17">
        <v>0.53194444444444444</v>
      </c>
      <c r="G46" s="18">
        <v>0.25953703703703701</v>
      </c>
      <c r="H46" s="7">
        <v>55.87</v>
      </c>
    </row>
    <row r="47" spans="1:8" s="8" customFormat="1" x14ac:dyDescent="0.25">
      <c r="A47" s="6">
        <v>44</v>
      </c>
      <c r="B47" s="7" t="s">
        <v>740</v>
      </c>
      <c r="C47" s="7" t="s">
        <v>417</v>
      </c>
      <c r="D47" s="6" t="s">
        <v>19</v>
      </c>
      <c r="E47" s="17">
        <v>0.31111111111111112</v>
      </c>
      <c r="F47" s="17">
        <v>0.53194444444444444</v>
      </c>
      <c r="G47" s="18">
        <v>0.22114583333333335</v>
      </c>
      <c r="H47" s="7">
        <v>33.71</v>
      </c>
    </row>
    <row r="48" spans="1:8" s="8" customFormat="1" x14ac:dyDescent="0.25">
      <c r="A48" s="6">
        <v>45</v>
      </c>
      <c r="B48" s="7" t="s">
        <v>740</v>
      </c>
      <c r="C48" s="7" t="s">
        <v>411</v>
      </c>
      <c r="D48" s="6" t="s">
        <v>887</v>
      </c>
      <c r="E48" s="17">
        <v>0.28680555555555554</v>
      </c>
      <c r="F48" s="17">
        <v>0.53402777777777777</v>
      </c>
      <c r="G48" s="18">
        <v>0.24751157407407406</v>
      </c>
      <c r="H48" s="7">
        <v>32.11</v>
      </c>
    </row>
    <row r="49" spans="1:8" s="8" customFormat="1" x14ac:dyDescent="0.25">
      <c r="A49" s="6">
        <v>46</v>
      </c>
      <c r="B49" s="7" t="s">
        <v>740</v>
      </c>
      <c r="C49" s="7" t="s">
        <v>415</v>
      </c>
      <c r="D49" s="6" t="s">
        <v>1168</v>
      </c>
      <c r="E49" s="17">
        <v>0.24652777777777779</v>
      </c>
      <c r="F49" s="17">
        <v>0.53611111111111109</v>
      </c>
      <c r="G49" s="18">
        <v>0.28945601851851854</v>
      </c>
      <c r="H49" s="7">
        <v>43.69</v>
      </c>
    </row>
    <row r="50" spans="1:8" s="8" customFormat="1" x14ac:dyDescent="0.25">
      <c r="A50" s="6">
        <v>47</v>
      </c>
      <c r="B50" s="7" t="s">
        <v>740</v>
      </c>
      <c r="C50" s="7" t="s">
        <v>408</v>
      </c>
      <c r="D50" s="6" t="s">
        <v>57</v>
      </c>
      <c r="E50" s="17">
        <v>0.3034722222222222</v>
      </c>
      <c r="F50" s="17">
        <v>0.53680555555555554</v>
      </c>
      <c r="G50" s="18">
        <v>0.23303240740740741</v>
      </c>
      <c r="H50" s="7">
        <v>33.86</v>
      </c>
    </row>
    <row r="51" spans="1:8" s="8" customFormat="1" x14ac:dyDescent="0.25">
      <c r="A51" s="6">
        <v>48</v>
      </c>
      <c r="B51" s="7" t="s">
        <v>740</v>
      </c>
      <c r="C51" s="7" t="s">
        <v>412</v>
      </c>
      <c r="D51" s="6" t="s">
        <v>1037</v>
      </c>
      <c r="E51" s="17">
        <v>0.28055555555555556</v>
      </c>
      <c r="F51" s="17">
        <v>0.53749999999999998</v>
      </c>
      <c r="G51" s="18">
        <v>0.2570486111111111</v>
      </c>
      <c r="H51" s="7">
        <v>41.53</v>
      </c>
    </row>
    <row r="52" spans="1:8" s="8" customFormat="1" x14ac:dyDescent="0.25">
      <c r="A52" s="6">
        <v>49</v>
      </c>
      <c r="B52" s="7" t="s">
        <v>740</v>
      </c>
      <c r="C52" s="7" t="s">
        <v>416</v>
      </c>
      <c r="D52" s="6" t="s">
        <v>86</v>
      </c>
      <c r="E52" s="17">
        <v>0.27361111111111114</v>
      </c>
      <c r="F52" s="17">
        <v>0.54097222222222219</v>
      </c>
      <c r="G52" s="18">
        <v>0.26726851851851852</v>
      </c>
      <c r="H52" s="7">
        <v>35.950000000000003</v>
      </c>
    </row>
    <row r="53" spans="1:8" s="8" customFormat="1" x14ac:dyDescent="0.25">
      <c r="A53" s="40">
        <v>1</v>
      </c>
      <c r="B53" s="41" t="s">
        <v>741</v>
      </c>
      <c r="C53" s="41" t="s">
        <v>425</v>
      </c>
      <c r="D53" s="40" t="s">
        <v>49</v>
      </c>
      <c r="E53" s="42">
        <v>0.23958333333333334</v>
      </c>
      <c r="F53" s="42">
        <v>0.42638888888888887</v>
      </c>
      <c r="G53" s="43">
        <v>0.1867824074074074</v>
      </c>
      <c r="H53" s="41">
        <v>40.590000000000003</v>
      </c>
    </row>
    <row r="54" spans="1:8" s="8" customFormat="1" x14ac:dyDescent="0.25">
      <c r="A54" s="45">
        <v>2</v>
      </c>
      <c r="B54" s="44" t="s">
        <v>741</v>
      </c>
      <c r="C54" s="44" t="s">
        <v>425</v>
      </c>
      <c r="D54" s="45" t="s">
        <v>964</v>
      </c>
      <c r="E54" s="46">
        <v>0.1423611111111111</v>
      </c>
      <c r="F54" s="46">
        <v>0.46111111111111114</v>
      </c>
      <c r="G54" s="47">
        <v>0.31877314814814817</v>
      </c>
      <c r="H54" s="44">
        <v>22.17</v>
      </c>
    </row>
    <row r="55" spans="1:8" s="8" customFormat="1" x14ac:dyDescent="0.25">
      <c r="A55" s="45">
        <v>3</v>
      </c>
      <c r="B55" s="44" t="s">
        <v>741</v>
      </c>
      <c r="C55" s="44" t="s">
        <v>427</v>
      </c>
      <c r="D55" s="45" t="s">
        <v>105</v>
      </c>
      <c r="E55" s="46">
        <v>0.25277777777777777</v>
      </c>
      <c r="F55" s="46">
        <v>0.47499999999999998</v>
      </c>
      <c r="G55" s="47">
        <v>0.22211805555555555</v>
      </c>
      <c r="H55" s="44">
        <v>13.08</v>
      </c>
    </row>
    <row r="56" spans="1:8" s="8" customFormat="1" x14ac:dyDescent="0.25">
      <c r="A56" s="45">
        <v>4</v>
      </c>
      <c r="B56" s="44" t="s">
        <v>741</v>
      </c>
      <c r="C56" s="44" t="s">
        <v>429</v>
      </c>
      <c r="D56" s="45" t="s">
        <v>62</v>
      </c>
      <c r="E56" s="46">
        <v>0.26597222222222222</v>
      </c>
      <c r="F56" s="46">
        <v>0.47499999999999998</v>
      </c>
      <c r="G56" s="47">
        <v>0.20924768518518519</v>
      </c>
      <c r="H56" s="44">
        <v>11.64</v>
      </c>
    </row>
    <row r="57" spans="1:8" s="8" customFormat="1" x14ac:dyDescent="0.25">
      <c r="A57" s="45">
        <v>5</v>
      </c>
      <c r="B57" s="44" t="s">
        <v>741</v>
      </c>
      <c r="C57" s="44" t="s">
        <v>425</v>
      </c>
      <c r="D57" s="45" t="s">
        <v>87</v>
      </c>
      <c r="E57" s="46">
        <v>0.26319444444444445</v>
      </c>
      <c r="F57" s="46">
        <v>0.48125000000000001</v>
      </c>
      <c r="G57" s="47">
        <v>0.2182523148148148</v>
      </c>
      <c r="H57" s="44">
        <v>28.09</v>
      </c>
    </row>
    <row r="58" spans="1:8" s="8" customFormat="1" x14ac:dyDescent="0.25">
      <c r="A58" s="45">
        <v>6</v>
      </c>
      <c r="B58" s="44" t="s">
        <v>741</v>
      </c>
      <c r="C58" s="44" t="s">
        <v>434</v>
      </c>
      <c r="D58" s="45" t="s">
        <v>1173</v>
      </c>
      <c r="E58" s="46">
        <v>0.29166666666666669</v>
      </c>
      <c r="F58" s="46">
        <v>0.48125000000000001</v>
      </c>
      <c r="G58" s="47">
        <v>0.18957175925925926</v>
      </c>
      <c r="H58" s="44">
        <v>21.88</v>
      </c>
    </row>
    <row r="59" spans="1:8" s="8" customFormat="1" x14ac:dyDescent="0.25">
      <c r="A59" s="45">
        <v>7</v>
      </c>
      <c r="B59" s="44" t="s">
        <v>741</v>
      </c>
      <c r="C59" s="44" t="s">
        <v>427</v>
      </c>
      <c r="D59" s="45" t="s">
        <v>920</v>
      </c>
      <c r="E59" s="46">
        <v>0.28055555555555556</v>
      </c>
      <c r="F59" s="46">
        <v>0.49861111111111112</v>
      </c>
      <c r="G59" s="47">
        <v>0.2182523148148148</v>
      </c>
      <c r="H59" s="44">
        <v>15.88</v>
      </c>
    </row>
    <row r="60" spans="1:8" s="8" customFormat="1" x14ac:dyDescent="0.25">
      <c r="A60" s="6">
        <v>8</v>
      </c>
      <c r="B60" s="7" t="s">
        <v>741</v>
      </c>
      <c r="C60" s="7" t="s">
        <v>431</v>
      </c>
      <c r="D60" s="6" t="s">
        <v>844</v>
      </c>
      <c r="E60" s="17">
        <v>0.30555555555555558</v>
      </c>
      <c r="F60" s="17">
        <v>0.50624999999999998</v>
      </c>
      <c r="G60" s="18">
        <v>0.20072916666666665</v>
      </c>
      <c r="H60" s="7">
        <v>32.659999999999997</v>
      </c>
    </row>
    <row r="61" spans="1:8" s="8" customFormat="1" x14ac:dyDescent="0.25">
      <c r="A61" s="6">
        <v>9</v>
      </c>
      <c r="B61" s="7" t="s">
        <v>741</v>
      </c>
      <c r="C61" s="7" t="s">
        <v>436</v>
      </c>
      <c r="D61" s="6" t="s">
        <v>30</v>
      </c>
      <c r="E61" s="17">
        <v>0.26527777777777778</v>
      </c>
      <c r="F61" s="17">
        <v>0.51111111111111107</v>
      </c>
      <c r="G61" s="18">
        <v>0.24572916666666667</v>
      </c>
      <c r="H61" s="7">
        <v>30.21</v>
      </c>
    </row>
    <row r="62" spans="1:8" s="8" customFormat="1" x14ac:dyDescent="0.25">
      <c r="A62" s="6">
        <v>10</v>
      </c>
      <c r="B62" s="7" t="s">
        <v>741</v>
      </c>
      <c r="C62" s="7" t="s">
        <v>436</v>
      </c>
      <c r="D62" s="6" t="s">
        <v>113</v>
      </c>
      <c r="E62" s="17">
        <v>0.27708333333333335</v>
      </c>
      <c r="F62" s="17">
        <v>0.52152777777777781</v>
      </c>
      <c r="G62" s="18">
        <v>0.24450231481481483</v>
      </c>
      <c r="H62" s="7">
        <v>32.520000000000003</v>
      </c>
    </row>
    <row r="63" spans="1:8" s="8" customFormat="1" x14ac:dyDescent="0.25">
      <c r="A63" s="6">
        <v>11</v>
      </c>
      <c r="B63" s="7" t="s">
        <v>741</v>
      </c>
      <c r="C63" s="7" t="s">
        <v>443</v>
      </c>
      <c r="D63" s="6" t="s">
        <v>1116</v>
      </c>
      <c r="E63" s="17">
        <v>0.25624999999999998</v>
      </c>
      <c r="F63" s="17">
        <v>0.53541666666666665</v>
      </c>
      <c r="G63" s="18">
        <v>0.27883101851851849</v>
      </c>
      <c r="H63" s="7">
        <v>46.2</v>
      </c>
    </row>
    <row r="64" spans="1:8" s="8" customFormat="1" x14ac:dyDescent="0.25">
      <c r="A64" s="6">
        <v>12</v>
      </c>
      <c r="B64" s="7" t="s">
        <v>741</v>
      </c>
      <c r="C64" s="7" t="s">
        <v>446</v>
      </c>
      <c r="D64" s="6" t="s">
        <v>1031</v>
      </c>
      <c r="E64" s="17">
        <v>0.2673611111111111</v>
      </c>
      <c r="F64" s="17">
        <v>0.53611111111111109</v>
      </c>
      <c r="G64" s="18">
        <v>0.26844907407407409</v>
      </c>
      <c r="H64" s="7">
        <v>37.76</v>
      </c>
    </row>
    <row r="65" spans="1:8" s="8" customFormat="1" x14ac:dyDescent="0.25">
      <c r="A65" s="32">
        <v>1</v>
      </c>
      <c r="B65" s="33" t="s">
        <v>742</v>
      </c>
      <c r="C65" s="33" t="s">
        <v>459</v>
      </c>
      <c r="D65" s="32" t="s">
        <v>109</v>
      </c>
      <c r="E65" s="34">
        <v>0.26874999999999999</v>
      </c>
      <c r="F65" s="34">
        <v>0.39027777777777778</v>
      </c>
      <c r="G65" s="35">
        <v>0.12150462962962963</v>
      </c>
      <c r="H65" s="33">
        <v>7.99</v>
      </c>
    </row>
    <row r="66" spans="1:8" s="8" customFormat="1" x14ac:dyDescent="0.25">
      <c r="A66" s="32">
        <v>2</v>
      </c>
      <c r="B66" s="33" t="s">
        <v>742</v>
      </c>
      <c r="C66" s="33" t="s">
        <v>464</v>
      </c>
      <c r="D66" s="32" t="s">
        <v>1142</v>
      </c>
      <c r="E66" s="34">
        <v>0.24027777777777778</v>
      </c>
      <c r="F66" s="34">
        <v>0.40694444444444444</v>
      </c>
      <c r="G66" s="35">
        <v>0.16633101851851853</v>
      </c>
      <c r="H66" s="33">
        <v>36.69</v>
      </c>
    </row>
    <row r="67" spans="1:8" s="8" customFormat="1" x14ac:dyDescent="0.25">
      <c r="A67" s="40">
        <v>3</v>
      </c>
      <c r="B67" s="41" t="s">
        <v>742</v>
      </c>
      <c r="C67" s="41" t="s">
        <v>467</v>
      </c>
      <c r="D67" s="40" t="s">
        <v>1030</v>
      </c>
      <c r="E67" s="42">
        <v>0.25347222222222221</v>
      </c>
      <c r="F67" s="42">
        <v>0.42152777777777778</v>
      </c>
      <c r="G67" s="43">
        <v>0.16755787037037037</v>
      </c>
      <c r="H67" s="41">
        <v>19.72</v>
      </c>
    </row>
    <row r="68" spans="1:8" s="8" customFormat="1" x14ac:dyDescent="0.25">
      <c r="A68" s="40">
        <v>4</v>
      </c>
      <c r="B68" s="41" t="s">
        <v>742</v>
      </c>
      <c r="C68" s="41" t="s">
        <v>460</v>
      </c>
      <c r="D68" s="40" t="s">
        <v>114</v>
      </c>
      <c r="E68" s="42">
        <v>0.28402777777777777</v>
      </c>
      <c r="F68" s="42">
        <v>0.4375</v>
      </c>
      <c r="G68" s="43">
        <v>0.15359953703703705</v>
      </c>
      <c r="H68" s="41">
        <v>28.25</v>
      </c>
    </row>
    <row r="69" spans="1:8" s="8" customFormat="1" x14ac:dyDescent="0.25">
      <c r="A69" s="40">
        <v>5</v>
      </c>
      <c r="B69" s="41" t="s">
        <v>742</v>
      </c>
      <c r="C69" s="41" t="s">
        <v>449</v>
      </c>
      <c r="D69" s="40" t="s">
        <v>112</v>
      </c>
      <c r="E69" s="42">
        <v>0.26805555555555555</v>
      </c>
      <c r="F69" s="42">
        <v>0.44583333333333336</v>
      </c>
      <c r="G69" s="43">
        <v>0.17756944444444445</v>
      </c>
      <c r="H69" s="41">
        <v>16.510000000000002</v>
      </c>
    </row>
    <row r="70" spans="1:8" s="8" customFormat="1" x14ac:dyDescent="0.25">
      <c r="A70" s="40">
        <v>6</v>
      </c>
      <c r="B70" s="41" t="s">
        <v>742</v>
      </c>
      <c r="C70" s="41" t="s">
        <v>462</v>
      </c>
      <c r="D70" s="40" t="s">
        <v>1064</v>
      </c>
      <c r="E70" s="42">
        <v>0.28611111111111109</v>
      </c>
      <c r="F70" s="42">
        <v>0.45</v>
      </c>
      <c r="G70" s="43">
        <v>0.16390046296296296</v>
      </c>
      <c r="H70" s="41">
        <v>26.48</v>
      </c>
    </row>
    <row r="71" spans="1:8" s="8" customFormat="1" x14ac:dyDescent="0.25">
      <c r="A71" s="40">
        <v>7</v>
      </c>
      <c r="B71" s="41" t="s">
        <v>742</v>
      </c>
      <c r="C71" s="41" t="s">
        <v>463</v>
      </c>
      <c r="D71" s="40" t="s">
        <v>981</v>
      </c>
      <c r="E71" s="42">
        <v>0.27291666666666664</v>
      </c>
      <c r="F71" s="42">
        <v>0.45277777777777778</v>
      </c>
      <c r="G71" s="43">
        <v>0.1802199074074074</v>
      </c>
      <c r="H71" s="41">
        <v>29.86</v>
      </c>
    </row>
    <row r="72" spans="1:8" s="8" customFormat="1" x14ac:dyDescent="0.25">
      <c r="A72" s="40">
        <v>8</v>
      </c>
      <c r="B72" s="41" t="s">
        <v>742</v>
      </c>
      <c r="C72" s="41" t="s">
        <v>448</v>
      </c>
      <c r="D72" s="40" t="s">
        <v>103</v>
      </c>
      <c r="E72" s="42">
        <v>0.29236111111111113</v>
      </c>
      <c r="F72" s="42">
        <v>0.4548611111111111</v>
      </c>
      <c r="G72" s="43">
        <v>0.16280092592592593</v>
      </c>
      <c r="H72" s="41">
        <v>28.48</v>
      </c>
    </row>
    <row r="73" spans="1:8" s="8" customFormat="1" x14ac:dyDescent="0.25">
      <c r="A73" s="45">
        <v>9</v>
      </c>
      <c r="B73" s="44" t="s">
        <v>742</v>
      </c>
      <c r="C73" s="44" t="s">
        <v>457</v>
      </c>
      <c r="D73" s="45" t="s">
        <v>1053</v>
      </c>
      <c r="E73" s="46">
        <v>0.23680555555555555</v>
      </c>
      <c r="F73" s="46">
        <v>0.46250000000000002</v>
      </c>
      <c r="G73" s="47">
        <v>0.22537037037037036</v>
      </c>
      <c r="H73" s="44">
        <v>25.09</v>
      </c>
    </row>
    <row r="74" spans="1:8" s="8" customFormat="1" x14ac:dyDescent="0.25">
      <c r="A74" s="45">
        <v>10</v>
      </c>
      <c r="B74" s="44" t="s">
        <v>742</v>
      </c>
      <c r="C74" s="44" t="s">
        <v>465</v>
      </c>
      <c r="D74" s="45" t="s">
        <v>117</v>
      </c>
      <c r="E74" s="46">
        <v>0.29722222222222222</v>
      </c>
      <c r="F74" s="46">
        <v>0.46250000000000002</v>
      </c>
      <c r="G74" s="47">
        <v>0.16524305555555555</v>
      </c>
      <c r="H74" s="44">
        <v>20.11</v>
      </c>
    </row>
    <row r="75" spans="1:8" s="8" customFormat="1" x14ac:dyDescent="0.25">
      <c r="A75" s="45">
        <v>11</v>
      </c>
      <c r="B75" s="44" t="s">
        <v>742</v>
      </c>
      <c r="C75" s="44" t="s">
        <v>448</v>
      </c>
      <c r="D75" s="45" t="s">
        <v>94</v>
      </c>
      <c r="E75" s="46">
        <v>0.25</v>
      </c>
      <c r="F75" s="46">
        <v>0.46458333333333335</v>
      </c>
      <c r="G75" s="47">
        <v>0.21402777777777779</v>
      </c>
      <c r="H75" s="44">
        <v>16.32</v>
      </c>
    </row>
    <row r="76" spans="1:8" s="8" customFormat="1" x14ac:dyDescent="0.25">
      <c r="A76" s="45">
        <v>12</v>
      </c>
      <c r="B76" s="44" t="s">
        <v>742</v>
      </c>
      <c r="C76" s="44" t="s">
        <v>463</v>
      </c>
      <c r="D76" s="45" t="s">
        <v>96</v>
      </c>
      <c r="E76" s="46">
        <v>0.28472222222222221</v>
      </c>
      <c r="F76" s="46">
        <v>0.46875</v>
      </c>
      <c r="G76" s="47">
        <v>0.18460648148148148</v>
      </c>
      <c r="H76" s="44">
        <v>18.649999999999999</v>
      </c>
    </row>
    <row r="77" spans="1:8" s="8" customFormat="1" x14ac:dyDescent="0.25">
      <c r="A77" s="45">
        <v>13</v>
      </c>
      <c r="B77" s="44" t="s">
        <v>742</v>
      </c>
      <c r="C77" s="44" t="s">
        <v>464</v>
      </c>
      <c r="D77" s="45" t="s">
        <v>1021</v>
      </c>
      <c r="E77" s="46">
        <v>0.2673611111111111</v>
      </c>
      <c r="F77" s="46">
        <v>0.46944444444444444</v>
      </c>
      <c r="G77" s="47">
        <v>0.20252314814814815</v>
      </c>
      <c r="H77" s="44">
        <v>24.82</v>
      </c>
    </row>
    <row r="78" spans="1:8" s="8" customFormat="1" x14ac:dyDescent="0.25">
      <c r="A78" s="45">
        <v>14</v>
      </c>
      <c r="B78" s="44" t="s">
        <v>742</v>
      </c>
      <c r="C78" s="44" t="s">
        <v>451</v>
      </c>
      <c r="D78" s="45" t="s">
        <v>1101</v>
      </c>
      <c r="E78" s="46">
        <v>0.24930555555555556</v>
      </c>
      <c r="F78" s="46">
        <v>0.47222222222222221</v>
      </c>
      <c r="G78" s="47">
        <v>0.2230787037037037</v>
      </c>
      <c r="H78" s="44">
        <v>41.28</v>
      </c>
    </row>
    <row r="79" spans="1:8" s="8" customFormat="1" x14ac:dyDescent="0.25">
      <c r="A79" s="45">
        <v>15</v>
      </c>
      <c r="B79" s="44" t="s">
        <v>742</v>
      </c>
      <c r="C79" s="44" t="s">
        <v>454</v>
      </c>
      <c r="D79" s="45" t="s">
        <v>1004</v>
      </c>
      <c r="E79" s="46">
        <v>0.27638888888888891</v>
      </c>
      <c r="F79" s="46">
        <v>0.47222222222222221</v>
      </c>
      <c r="G79" s="47">
        <v>0.19542824074074075</v>
      </c>
      <c r="H79" s="44">
        <v>21.22</v>
      </c>
    </row>
    <row r="80" spans="1:8" s="8" customFormat="1" x14ac:dyDescent="0.25">
      <c r="A80" s="45">
        <v>16</v>
      </c>
      <c r="B80" s="44" t="s">
        <v>742</v>
      </c>
      <c r="C80" s="44" t="s">
        <v>455</v>
      </c>
      <c r="D80" s="45" t="s">
        <v>60</v>
      </c>
      <c r="E80" s="46">
        <v>0.23680555555555555</v>
      </c>
      <c r="F80" s="46">
        <v>0.48125000000000001</v>
      </c>
      <c r="G80" s="47">
        <v>0.24432870370370371</v>
      </c>
      <c r="H80" s="44">
        <v>21.24</v>
      </c>
    </row>
    <row r="81" spans="1:8" s="8" customFormat="1" x14ac:dyDescent="0.25">
      <c r="A81" s="45">
        <v>17</v>
      </c>
      <c r="B81" s="44" t="s">
        <v>742</v>
      </c>
      <c r="C81" s="44" t="s">
        <v>459</v>
      </c>
      <c r="D81" s="45" t="s">
        <v>145</v>
      </c>
      <c r="E81" s="46">
        <v>0.30694444444444446</v>
      </c>
      <c r="F81" s="46">
        <v>0.48819444444444443</v>
      </c>
      <c r="G81" s="47">
        <v>0.18131944444444445</v>
      </c>
      <c r="H81" s="44">
        <v>21.43</v>
      </c>
    </row>
    <row r="82" spans="1:8" s="8" customFormat="1" x14ac:dyDescent="0.25">
      <c r="A82" s="45">
        <v>18</v>
      </c>
      <c r="B82" s="44" t="s">
        <v>742</v>
      </c>
      <c r="C82" s="44" t="s">
        <v>453</v>
      </c>
      <c r="D82" s="45" t="s">
        <v>85</v>
      </c>
      <c r="E82" s="46">
        <v>0.2902777777777778</v>
      </c>
      <c r="F82" s="46">
        <v>0.48958333333333331</v>
      </c>
      <c r="G82" s="47">
        <v>0.19909722222222223</v>
      </c>
      <c r="H82" s="44">
        <v>19.75</v>
      </c>
    </row>
    <row r="83" spans="1:8" s="8" customFormat="1" x14ac:dyDescent="0.25">
      <c r="A83" s="45">
        <v>19</v>
      </c>
      <c r="B83" s="44" t="s">
        <v>742</v>
      </c>
      <c r="C83" s="44" t="s">
        <v>462</v>
      </c>
      <c r="D83" s="45" t="s">
        <v>76</v>
      </c>
      <c r="E83" s="46">
        <v>0.2902777777777778</v>
      </c>
      <c r="F83" s="46">
        <v>0.49305555555555558</v>
      </c>
      <c r="G83" s="47">
        <v>0.20256944444444444</v>
      </c>
      <c r="H83" s="44">
        <v>17.440000000000001</v>
      </c>
    </row>
    <row r="84" spans="1:8" s="8" customFormat="1" x14ac:dyDescent="0.25">
      <c r="A84" s="45">
        <v>20</v>
      </c>
      <c r="B84" s="44" t="s">
        <v>742</v>
      </c>
      <c r="C84" s="44" t="s">
        <v>465</v>
      </c>
      <c r="D84" s="45" t="s">
        <v>95</v>
      </c>
      <c r="E84" s="46">
        <v>0.30763888888888891</v>
      </c>
      <c r="F84" s="46">
        <v>0.49583333333333335</v>
      </c>
      <c r="G84" s="47">
        <v>0.18812499999999999</v>
      </c>
      <c r="H84" s="44">
        <v>31.76</v>
      </c>
    </row>
    <row r="85" spans="1:8" s="8" customFormat="1" x14ac:dyDescent="0.25">
      <c r="A85" s="45">
        <v>21</v>
      </c>
      <c r="B85" s="44" t="s">
        <v>742</v>
      </c>
      <c r="C85" s="44" t="s">
        <v>458</v>
      </c>
      <c r="D85" s="45" t="s">
        <v>99</v>
      </c>
      <c r="E85" s="46">
        <v>0.29652777777777778</v>
      </c>
      <c r="F85" s="46">
        <v>0.49722222222222223</v>
      </c>
      <c r="G85" s="47">
        <v>0.20078703703703704</v>
      </c>
      <c r="H85" s="44">
        <v>21.83</v>
      </c>
    </row>
    <row r="86" spans="1:8" s="8" customFormat="1" x14ac:dyDescent="0.25">
      <c r="A86" s="6">
        <v>22</v>
      </c>
      <c r="B86" s="7" t="s">
        <v>742</v>
      </c>
      <c r="C86" s="7" t="s">
        <v>467</v>
      </c>
      <c r="D86" s="6" t="s">
        <v>56</v>
      </c>
      <c r="E86" s="17">
        <v>0.28125</v>
      </c>
      <c r="F86" s="17">
        <v>0.50416666666666665</v>
      </c>
      <c r="G86" s="18">
        <v>0.22351851851851851</v>
      </c>
      <c r="H86" s="7">
        <v>28.67</v>
      </c>
    </row>
    <row r="87" spans="1:8" s="8" customFormat="1" x14ac:dyDescent="0.25">
      <c r="A87" s="6">
        <v>23</v>
      </c>
      <c r="B87" s="7" t="s">
        <v>742</v>
      </c>
      <c r="C87" s="7" t="s">
        <v>457</v>
      </c>
      <c r="D87" s="6" t="s">
        <v>952</v>
      </c>
      <c r="E87" s="17">
        <v>0.28611111111111109</v>
      </c>
      <c r="F87" s="17">
        <v>0.50486111111111109</v>
      </c>
      <c r="G87" s="18">
        <v>0.21906249999999999</v>
      </c>
      <c r="H87" s="7">
        <v>14.64</v>
      </c>
    </row>
    <row r="88" spans="1:8" s="8" customFormat="1" x14ac:dyDescent="0.25">
      <c r="A88" s="6">
        <v>24</v>
      </c>
      <c r="B88" s="7" t="s">
        <v>742</v>
      </c>
      <c r="C88" s="7" t="s">
        <v>466</v>
      </c>
      <c r="D88" s="6" t="s">
        <v>110</v>
      </c>
      <c r="E88" s="17">
        <v>0.26111111111111113</v>
      </c>
      <c r="F88" s="17">
        <v>0.50555555555555554</v>
      </c>
      <c r="G88" s="18">
        <v>0.24444444444444444</v>
      </c>
      <c r="H88" s="7">
        <v>19.260000000000002</v>
      </c>
    </row>
    <row r="89" spans="1:8" s="8" customFormat="1" x14ac:dyDescent="0.25">
      <c r="A89" s="6">
        <v>25</v>
      </c>
      <c r="B89" s="7" t="s">
        <v>742</v>
      </c>
      <c r="C89" s="7" t="s">
        <v>449</v>
      </c>
      <c r="D89" s="6" t="s">
        <v>910</v>
      </c>
      <c r="E89" s="17">
        <v>0.2986111111111111</v>
      </c>
      <c r="F89" s="17">
        <v>0.50694444444444442</v>
      </c>
      <c r="G89" s="18">
        <v>0.20813657407407407</v>
      </c>
      <c r="H89" s="7">
        <v>20.45</v>
      </c>
    </row>
    <row r="90" spans="1:8" s="8" customFormat="1" x14ac:dyDescent="0.25">
      <c r="A90" s="6">
        <v>26</v>
      </c>
      <c r="B90" s="7" t="s">
        <v>742</v>
      </c>
      <c r="C90" s="7" t="s">
        <v>461</v>
      </c>
      <c r="D90" s="6" t="s">
        <v>755</v>
      </c>
      <c r="E90" s="17">
        <v>0.25</v>
      </c>
      <c r="F90" s="17">
        <v>0.51041666666666663</v>
      </c>
      <c r="G90" s="18">
        <v>0.26070601851851855</v>
      </c>
      <c r="H90" s="7">
        <v>19.89</v>
      </c>
    </row>
    <row r="91" spans="1:8" s="8" customFormat="1" x14ac:dyDescent="0.25">
      <c r="A91" s="6">
        <v>27</v>
      </c>
      <c r="B91" s="7" t="s">
        <v>742</v>
      </c>
      <c r="C91" s="7" t="s">
        <v>452</v>
      </c>
      <c r="D91" s="6" t="s">
        <v>865</v>
      </c>
      <c r="E91" s="17">
        <v>0.30555555555555558</v>
      </c>
      <c r="F91" s="17">
        <v>0.51249999999999996</v>
      </c>
      <c r="G91" s="18">
        <v>0.20645833333333333</v>
      </c>
      <c r="H91" s="7">
        <v>15.75</v>
      </c>
    </row>
    <row r="92" spans="1:8" s="8" customFormat="1" x14ac:dyDescent="0.25">
      <c r="A92" s="6">
        <v>28</v>
      </c>
      <c r="B92" s="7" t="s">
        <v>742</v>
      </c>
      <c r="C92" s="7" t="s">
        <v>458</v>
      </c>
      <c r="D92" s="6" t="s">
        <v>921</v>
      </c>
      <c r="E92" s="17">
        <v>0.30486111111111114</v>
      </c>
      <c r="F92" s="17">
        <v>0.5180555555555556</v>
      </c>
      <c r="G92" s="18">
        <v>0.21371527777777777</v>
      </c>
      <c r="H92" s="7">
        <v>11.37</v>
      </c>
    </row>
    <row r="93" spans="1:8" s="8" customFormat="1" x14ac:dyDescent="0.25">
      <c r="A93" s="6">
        <v>29</v>
      </c>
      <c r="B93" s="7" t="s">
        <v>742</v>
      </c>
      <c r="C93" s="7" t="s">
        <v>456</v>
      </c>
      <c r="D93" s="6" t="s">
        <v>856</v>
      </c>
      <c r="E93" s="17">
        <v>0.30277777777777776</v>
      </c>
      <c r="F93" s="17">
        <v>0.52152777777777781</v>
      </c>
      <c r="G93" s="18">
        <v>0.21844907407407407</v>
      </c>
      <c r="H93" s="7">
        <v>14.62</v>
      </c>
    </row>
    <row r="94" spans="1:8" s="8" customFormat="1" x14ac:dyDescent="0.25">
      <c r="A94" s="6">
        <v>30</v>
      </c>
      <c r="B94" s="7" t="s">
        <v>742</v>
      </c>
      <c r="C94" s="7" t="s">
        <v>450</v>
      </c>
      <c r="D94" s="6" t="s">
        <v>84</v>
      </c>
      <c r="E94" s="17">
        <v>0.2590277777777778</v>
      </c>
      <c r="F94" s="17">
        <v>0.53263888888888888</v>
      </c>
      <c r="G94" s="18">
        <v>0.27359953703703704</v>
      </c>
      <c r="H94" s="7">
        <v>27.27</v>
      </c>
    </row>
    <row r="95" spans="1:8" s="8" customFormat="1" x14ac:dyDescent="0.25">
      <c r="A95" s="32">
        <v>1</v>
      </c>
      <c r="B95" s="33" t="s">
        <v>743</v>
      </c>
      <c r="C95" s="33" t="s">
        <v>38</v>
      </c>
      <c r="D95" s="32" t="s">
        <v>1195</v>
      </c>
      <c r="E95" s="34">
        <v>0.2902777777777778</v>
      </c>
      <c r="F95" s="34">
        <v>0.39444444444444443</v>
      </c>
      <c r="G95" s="35">
        <v>0.1041087962962963</v>
      </c>
      <c r="H95" s="33">
        <v>15.18</v>
      </c>
    </row>
    <row r="96" spans="1:8" s="8" customFormat="1" x14ac:dyDescent="0.25">
      <c r="A96" s="32">
        <v>2</v>
      </c>
      <c r="B96" s="33" t="s">
        <v>743</v>
      </c>
      <c r="C96" s="33" t="s">
        <v>13</v>
      </c>
      <c r="D96" s="32" t="s">
        <v>102</v>
      </c>
      <c r="E96" s="34">
        <v>0.27291666666666664</v>
      </c>
      <c r="F96" s="34">
        <v>0.41388888888888886</v>
      </c>
      <c r="G96" s="35">
        <v>0.14070601851851852</v>
      </c>
      <c r="H96" s="33">
        <v>14.65</v>
      </c>
    </row>
    <row r="97" spans="1:8" s="8" customFormat="1" x14ac:dyDescent="0.25">
      <c r="A97" s="40">
        <v>3</v>
      </c>
      <c r="B97" s="41" t="s">
        <v>743</v>
      </c>
      <c r="C97" s="41" t="s">
        <v>13</v>
      </c>
      <c r="D97" s="40" t="s">
        <v>25</v>
      </c>
      <c r="E97" s="42">
        <v>0.28472222222222221</v>
      </c>
      <c r="F97" s="42">
        <v>0.42916666666666664</v>
      </c>
      <c r="G97" s="43">
        <v>0.14403935185185185</v>
      </c>
      <c r="H97" s="41">
        <v>18.75</v>
      </c>
    </row>
    <row r="98" spans="1:8" s="8" customFormat="1" x14ac:dyDescent="0.25">
      <c r="A98" s="40">
        <v>4</v>
      </c>
      <c r="B98" s="41" t="s">
        <v>743</v>
      </c>
      <c r="C98" s="41" t="s">
        <v>10</v>
      </c>
      <c r="D98" s="40" t="s">
        <v>47</v>
      </c>
      <c r="E98" s="42">
        <v>0.23749999999999999</v>
      </c>
      <c r="F98" s="42">
        <v>0.43611111111111112</v>
      </c>
      <c r="G98" s="43">
        <v>0.19898148148148148</v>
      </c>
      <c r="H98" s="41">
        <v>12.48</v>
      </c>
    </row>
    <row r="99" spans="1:8" s="8" customFormat="1" x14ac:dyDescent="0.25">
      <c r="A99" s="40">
        <v>5</v>
      </c>
      <c r="B99" s="41" t="s">
        <v>743</v>
      </c>
      <c r="C99" s="41" t="s">
        <v>12</v>
      </c>
      <c r="D99" s="40" t="s">
        <v>53</v>
      </c>
      <c r="E99" s="42">
        <v>0.26458333333333334</v>
      </c>
      <c r="F99" s="42">
        <v>0.44166666666666665</v>
      </c>
      <c r="G99" s="43">
        <v>0.17697916666666666</v>
      </c>
      <c r="H99" s="41">
        <v>22.18</v>
      </c>
    </row>
    <row r="100" spans="1:8" s="8" customFormat="1" x14ac:dyDescent="0.25">
      <c r="A100" s="40">
        <v>6</v>
      </c>
      <c r="B100" s="41" t="s">
        <v>743</v>
      </c>
      <c r="C100" s="41" t="s">
        <v>67</v>
      </c>
      <c r="D100" s="40" t="s">
        <v>69</v>
      </c>
      <c r="E100" s="42">
        <v>0.11388888888888889</v>
      </c>
      <c r="F100" s="42">
        <v>0.45277777777777778</v>
      </c>
      <c r="G100" s="43">
        <v>0.33862268518518518</v>
      </c>
      <c r="H100" s="41">
        <v>18.12</v>
      </c>
    </row>
    <row r="101" spans="1:8" s="8" customFormat="1" x14ac:dyDescent="0.25">
      <c r="A101" s="40">
        <v>7</v>
      </c>
      <c r="B101" s="41" t="s">
        <v>743</v>
      </c>
      <c r="C101" s="41" t="s">
        <v>46</v>
      </c>
      <c r="D101" s="40" t="s">
        <v>100</v>
      </c>
      <c r="E101" s="42">
        <v>0.29791666666666666</v>
      </c>
      <c r="F101" s="42">
        <v>0.45624999999999999</v>
      </c>
      <c r="G101" s="43">
        <v>0.15887731481481482</v>
      </c>
      <c r="H101" s="41">
        <v>17.48</v>
      </c>
    </row>
    <row r="102" spans="1:8" s="8" customFormat="1" x14ac:dyDescent="0.25">
      <c r="A102" s="45">
        <v>8</v>
      </c>
      <c r="B102" s="44" t="s">
        <v>743</v>
      </c>
      <c r="C102" s="44" t="s">
        <v>10</v>
      </c>
      <c r="D102" s="45" t="s">
        <v>1089</v>
      </c>
      <c r="E102" s="46">
        <v>0.25</v>
      </c>
      <c r="F102" s="46">
        <v>0.45902777777777776</v>
      </c>
      <c r="G102" s="47">
        <v>0.20862268518518517</v>
      </c>
      <c r="H102" s="44">
        <v>18.86</v>
      </c>
    </row>
    <row r="103" spans="1:8" s="8" customFormat="1" x14ac:dyDescent="0.25">
      <c r="A103" s="45">
        <v>9</v>
      </c>
      <c r="B103" s="44" t="s">
        <v>743</v>
      </c>
      <c r="C103" s="44" t="s">
        <v>66</v>
      </c>
      <c r="D103" s="45" t="s">
        <v>65</v>
      </c>
      <c r="E103" s="46">
        <v>0.2722222222222222</v>
      </c>
      <c r="F103" s="46">
        <v>0.45902777777777776</v>
      </c>
      <c r="G103" s="47">
        <v>0.18643518518518518</v>
      </c>
      <c r="H103" s="44">
        <v>23.52</v>
      </c>
    </row>
    <row r="104" spans="1:8" s="8" customFormat="1" x14ac:dyDescent="0.25">
      <c r="A104" s="45">
        <v>10</v>
      </c>
      <c r="B104" s="44" t="s">
        <v>743</v>
      </c>
      <c r="C104" s="44" t="s">
        <v>29</v>
      </c>
      <c r="D104" s="45" t="s">
        <v>63</v>
      </c>
      <c r="E104" s="46">
        <v>0.15347222222222223</v>
      </c>
      <c r="F104" s="46">
        <v>0.46319444444444446</v>
      </c>
      <c r="G104" s="47">
        <v>0.31019675925925927</v>
      </c>
      <c r="H104" s="44">
        <v>25.85</v>
      </c>
    </row>
    <row r="105" spans="1:8" s="8" customFormat="1" x14ac:dyDescent="0.25">
      <c r="A105" s="45">
        <v>11</v>
      </c>
      <c r="B105" s="44" t="s">
        <v>743</v>
      </c>
      <c r="C105" s="44" t="s">
        <v>12</v>
      </c>
      <c r="D105" s="45" t="s">
        <v>942</v>
      </c>
      <c r="E105" s="46">
        <v>0.2951388888888889</v>
      </c>
      <c r="F105" s="46">
        <v>0.46458333333333335</v>
      </c>
      <c r="G105" s="47">
        <v>0.16943287037037036</v>
      </c>
      <c r="H105" s="44">
        <v>13.78</v>
      </c>
    </row>
    <row r="106" spans="1:8" s="8" customFormat="1" x14ac:dyDescent="0.25">
      <c r="A106" s="45">
        <v>12</v>
      </c>
      <c r="B106" s="44" t="s">
        <v>743</v>
      </c>
      <c r="C106" s="44" t="s">
        <v>48</v>
      </c>
      <c r="D106" s="45" t="s">
        <v>876</v>
      </c>
      <c r="E106" s="46">
        <v>0.30694444444444446</v>
      </c>
      <c r="F106" s="46">
        <v>0.46458333333333335</v>
      </c>
      <c r="G106" s="47">
        <v>0.1575462962962963</v>
      </c>
      <c r="H106" s="44">
        <v>13.99</v>
      </c>
    </row>
    <row r="107" spans="1:8" s="8" customFormat="1" x14ac:dyDescent="0.25">
      <c r="A107" s="45">
        <v>13</v>
      </c>
      <c r="B107" s="44" t="s">
        <v>743</v>
      </c>
      <c r="C107" s="44" t="s">
        <v>15</v>
      </c>
      <c r="D107" s="45" t="s">
        <v>45</v>
      </c>
      <c r="E107" s="46">
        <v>0.25</v>
      </c>
      <c r="F107" s="46">
        <v>0.46944444444444444</v>
      </c>
      <c r="G107" s="47">
        <v>0.22002314814814813</v>
      </c>
      <c r="H107" s="44">
        <v>52.25</v>
      </c>
    </row>
    <row r="108" spans="1:8" s="8" customFormat="1" x14ac:dyDescent="0.25">
      <c r="A108" s="45">
        <v>14</v>
      </c>
      <c r="B108" s="44" t="s">
        <v>743</v>
      </c>
      <c r="C108" s="44" t="s">
        <v>67</v>
      </c>
      <c r="D108" s="45" t="s">
        <v>118</v>
      </c>
      <c r="E108" s="46">
        <v>0.31319444444444444</v>
      </c>
      <c r="F108" s="46">
        <v>0.47222222222222221</v>
      </c>
      <c r="G108" s="47">
        <v>0.15907407407407406</v>
      </c>
      <c r="H108" s="44">
        <v>25.78</v>
      </c>
    </row>
    <row r="109" spans="1:8" s="8" customFormat="1" x14ac:dyDescent="0.25">
      <c r="A109" s="45">
        <v>15</v>
      </c>
      <c r="B109" s="44" t="s">
        <v>743</v>
      </c>
      <c r="C109" s="44" t="s">
        <v>29</v>
      </c>
      <c r="D109" s="45" t="s">
        <v>79</v>
      </c>
      <c r="E109" s="46">
        <v>0.28819444444444442</v>
      </c>
      <c r="F109" s="46">
        <v>0.47638888888888886</v>
      </c>
      <c r="G109" s="47">
        <v>0.18770833333333334</v>
      </c>
      <c r="H109" s="44">
        <v>21.49</v>
      </c>
    </row>
    <row r="110" spans="1:8" s="8" customFormat="1" x14ac:dyDescent="0.25">
      <c r="A110" s="45">
        <v>16</v>
      </c>
      <c r="B110" s="44" t="s">
        <v>743</v>
      </c>
      <c r="C110" s="44" t="s">
        <v>9</v>
      </c>
      <c r="D110" s="45" t="s">
        <v>11</v>
      </c>
      <c r="E110" s="46">
        <v>0.27152777777777776</v>
      </c>
      <c r="F110" s="46">
        <v>0.48749999999999999</v>
      </c>
      <c r="G110" s="47">
        <v>0.21635416666666665</v>
      </c>
      <c r="H110" s="44">
        <v>49.2</v>
      </c>
    </row>
    <row r="111" spans="1:8" s="8" customFormat="1" x14ac:dyDescent="0.25">
      <c r="A111" s="45">
        <v>17</v>
      </c>
      <c r="B111" s="44" t="s">
        <v>743</v>
      </c>
      <c r="C111" s="44" t="s">
        <v>41</v>
      </c>
      <c r="D111" s="45" t="s">
        <v>40</v>
      </c>
      <c r="E111" s="46">
        <v>0.30416666666666664</v>
      </c>
      <c r="F111" s="46">
        <v>0.49444444444444446</v>
      </c>
      <c r="G111" s="47">
        <v>0.19040509259259258</v>
      </c>
      <c r="H111" s="44">
        <v>25.12</v>
      </c>
    </row>
    <row r="112" spans="1:8" s="8" customFormat="1" x14ac:dyDescent="0.25">
      <c r="A112" s="45">
        <v>18</v>
      </c>
      <c r="B112" s="44" t="s">
        <v>743</v>
      </c>
      <c r="C112" s="44" t="s">
        <v>9</v>
      </c>
      <c r="D112" s="45" t="s">
        <v>8</v>
      </c>
      <c r="E112" s="46">
        <v>0.24305555555555555</v>
      </c>
      <c r="F112" s="46">
        <v>0.49722222222222223</v>
      </c>
      <c r="G112" s="47">
        <v>0.25458333333333333</v>
      </c>
      <c r="H112" s="44">
        <v>45.51</v>
      </c>
    </row>
    <row r="113" spans="1:8" s="8" customFormat="1" x14ac:dyDescent="0.25">
      <c r="A113" s="6">
        <v>19</v>
      </c>
      <c r="B113" s="7" t="s">
        <v>743</v>
      </c>
      <c r="C113" s="14" t="s">
        <v>55</v>
      </c>
      <c r="D113" s="6" t="s">
        <v>1074</v>
      </c>
      <c r="E113" s="17">
        <v>0.2673611111111111</v>
      </c>
      <c r="F113" s="17">
        <v>0.51180555555555551</v>
      </c>
      <c r="G113" s="18">
        <v>0.24484953703703705</v>
      </c>
      <c r="H113" s="7">
        <v>18.71</v>
      </c>
    </row>
    <row r="114" spans="1:8" s="8" customFormat="1" x14ac:dyDescent="0.25">
      <c r="A114" s="6">
        <v>20</v>
      </c>
      <c r="B114" s="7" t="s">
        <v>743</v>
      </c>
      <c r="C114" s="7" t="s">
        <v>42</v>
      </c>
      <c r="D114" s="6" t="s">
        <v>1186</v>
      </c>
      <c r="E114" s="17">
        <v>0</v>
      </c>
      <c r="F114" s="17">
        <v>0.51666666666666672</v>
      </c>
      <c r="G114" s="18">
        <v>0.51688657407407412</v>
      </c>
      <c r="H114" s="7">
        <v>46.87</v>
      </c>
    </row>
    <row r="115" spans="1:8" s="8" customFormat="1" x14ac:dyDescent="0.25">
      <c r="A115" s="6">
        <v>21</v>
      </c>
      <c r="B115" s="7" t="s">
        <v>743</v>
      </c>
      <c r="C115" s="7" t="s">
        <v>73</v>
      </c>
      <c r="D115" s="6" t="s">
        <v>1062</v>
      </c>
      <c r="E115" s="17">
        <v>0.29097222222222224</v>
      </c>
      <c r="F115" s="17">
        <v>0.52013888888888893</v>
      </c>
      <c r="G115" s="18">
        <v>0.22961805555555556</v>
      </c>
      <c r="H115" s="7">
        <v>25.62</v>
      </c>
    </row>
    <row r="116" spans="1:8" s="8" customFormat="1" x14ac:dyDescent="0.25">
      <c r="A116" s="6">
        <v>22</v>
      </c>
      <c r="B116" s="7" t="s">
        <v>743</v>
      </c>
      <c r="C116" s="7" t="s">
        <v>9</v>
      </c>
      <c r="D116" s="6" t="s">
        <v>1200</v>
      </c>
      <c r="E116" s="17">
        <v>0.26527777777777778</v>
      </c>
      <c r="F116" s="17">
        <v>0.52638888888888891</v>
      </c>
      <c r="G116" s="18">
        <v>0.26112268518518517</v>
      </c>
      <c r="H116" s="7">
        <v>57</v>
      </c>
    </row>
    <row r="117" spans="1:8" s="8" customFormat="1" x14ac:dyDescent="0.25">
      <c r="A117" s="6">
        <v>23</v>
      </c>
      <c r="B117" s="7" t="s">
        <v>743</v>
      </c>
      <c r="C117" s="7" t="s">
        <v>6</v>
      </c>
      <c r="D117" s="6" t="s">
        <v>1157</v>
      </c>
      <c r="E117" s="17">
        <v>0.26805555555555555</v>
      </c>
      <c r="F117" s="17">
        <v>0.53125</v>
      </c>
      <c r="G117" s="18">
        <v>0.26350694444444445</v>
      </c>
      <c r="H117" s="7">
        <v>64.25</v>
      </c>
    </row>
    <row r="118" spans="1:8" s="8" customFormat="1" x14ac:dyDescent="0.25">
      <c r="A118" s="6">
        <v>24</v>
      </c>
      <c r="B118" s="7" t="s">
        <v>743</v>
      </c>
      <c r="C118" s="7" t="s">
        <v>41</v>
      </c>
      <c r="D118" s="6" t="s">
        <v>1088</v>
      </c>
      <c r="E118" s="17">
        <v>0.24305555555555555</v>
      </c>
      <c r="F118" s="17">
        <v>0.53472222222222221</v>
      </c>
      <c r="G118" s="18">
        <v>0.29175925925925927</v>
      </c>
      <c r="H118" s="7">
        <v>29.66</v>
      </c>
    </row>
    <row r="119" spans="1:8" s="8" customFormat="1" x14ac:dyDescent="0.25">
      <c r="A119" s="6">
        <v>25</v>
      </c>
      <c r="B119" s="7" t="s">
        <v>743</v>
      </c>
      <c r="C119" s="7" t="s">
        <v>31</v>
      </c>
      <c r="D119" s="6" t="s">
        <v>1075</v>
      </c>
      <c r="E119" s="17">
        <v>0.24791666666666667</v>
      </c>
      <c r="F119" s="17">
        <v>0.53541666666666665</v>
      </c>
      <c r="G119" s="18">
        <v>0.2870949074074074</v>
      </c>
      <c r="H119" s="7">
        <v>27.85</v>
      </c>
    </row>
    <row r="120" spans="1:8" s="8" customFormat="1" x14ac:dyDescent="0.25">
      <c r="A120" s="6">
        <v>26</v>
      </c>
      <c r="B120" s="7" t="s">
        <v>743</v>
      </c>
      <c r="C120" s="7" t="s">
        <v>82</v>
      </c>
      <c r="D120" s="6" t="s">
        <v>121</v>
      </c>
      <c r="E120" s="17">
        <v>0.27777777777777779</v>
      </c>
      <c r="F120" s="17">
        <v>0.53819444444444442</v>
      </c>
      <c r="G120" s="18">
        <v>0.26069444444444445</v>
      </c>
      <c r="H120" s="7">
        <v>23.1</v>
      </c>
    </row>
    <row r="121" spans="1:8" s="8" customFormat="1" x14ac:dyDescent="0.25">
      <c r="A121" s="6">
        <v>27</v>
      </c>
      <c r="B121" s="7" t="s">
        <v>743</v>
      </c>
      <c r="C121" s="7" t="s">
        <v>27</v>
      </c>
      <c r="D121" s="6" t="s">
        <v>111</v>
      </c>
      <c r="E121" s="17">
        <v>0.26597222222222222</v>
      </c>
      <c r="F121" s="17">
        <v>0.54027777777777775</v>
      </c>
      <c r="G121" s="18">
        <v>0.27429398148148149</v>
      </c>
      <c r="H121" s="7">
        <v>23.87</v>
      </c>
    </row>
    <row r="122" spans="1:8" s="8" customFormat="1" x14ac:dyDescent="0.25">
      <c r="A122" s="6">
        <v>28</v>
      </c>
      <c r="B122" s="7" t="s">
        <v>743</v>
      </c>
      <c r="C122" s="7" t="s">
        <v>6</v>
      </c>
      <c r="D122" s="6" t="s">
        <v>97</v>
      </c>
      <c r="E122" s="17">
        <v>0.27361111111111114</v>
      </c>
      <c r="F122" s="17">
        <v>0.54097222222222219</v>
      </c>
      <c r="G122" s="18">
        <v>0.26716435185185183</v>
      </c>
      <c r="H122" s="7">
        <v>12.41</v>
      </c>
    </row>
    <row r="123" spans="1:8" x14ac:dyDescent="0.25">
      <c r="A123" s="83" t="s">
        <v>750</v>
      </c>
      <c r="B123" s="84"/>
      <c r="C123" s="84"/>
      <c r="D123" s="84"/>
      <c r="E123" s="85"/>
      <c r="F123" s="83">
        <v>119</v>
      </c>
      <c r="G123" s="84"/>
      <c r="H123" s="85"/>
    </row>
    <row r="124" spans="1:8" x14ac:dyDescent="0.25">
      <c r="A124" s="82" t="s">
        <v>751</v>
      </c>
      <c r="B124" s="82"/>
      <c r="C124" s="82"/>
      <c r="D124" s="82"/>
      <c r="E124" s="82"/>
      <c r="F124" s="82">
        <v>4</v>
      </c>
      <c r="G124" s="82"/>
      <c r="H124" s="82"/>
    </row>
    <row r="125" spans="1:8" x14ac:dyDescent="0.25">
      <c r="A125" s="82" t="s">
        <v>752</v>
      </c>
      <c r="B125" s="82"/>
      <c r="C125" s="82"/>
      <c r="D125" s="82"/>
      <c r="E125" s="82"/>
      <c r="F125" s="82">
        <v>19</v>
      </c>
      <c r="G125" s="82"/>
      <c r="H125" s="82"/>
    </row>
    <row r="126" spans="1:8" x14ac:dyDescent="0.25">
      <c r="A126" s="82" t="s">
        <v>753</v>
      </c>
      <c r="B126" s="82"/>
      <c r="C126" s="82"/>
      <c r="D126" s="82"/>
      <c r="E126" s="82"/>
      <c r="F126" s="82">
        <v>46</v>
      </c>
      <c r="G126" s="82"/>
      <c r="H126" s="82"/>
    </row>
    <row r="127" spans="1:8" x14ac:dyDescent="0.25">
      <c r="A127" s="82" t="s">
        <v>754</v>
      </c>
      <c r="B127" s="82"/>
      <c r="C127" s="82"/>
      <c r="D127" s="82"/>
      <c r="E127" s="82"/>
      <c r="F127" s="82">
        <v>50</v>
      </c>
      <c r="G127" s="82"/>
      <c r="H127" s="82"/>
    </row>
  </sheetData>
  <mergeCells count="12">
    <mergeCell ref="A125:E125"/>
    <mergeCell ref="F125:H125"/>
    <mergeCell ref="A126:E126"/>
    <mergeCell ref="F126:H126"/>
    <mergeCell ref="A127:E127"/>
    <mergeCell ref="F127:H127"/>
    <mergeCell ref="A1:H1"/>
    <mergeCell ref="A2:H2"/>
    <mergeCell ref="A123:E123"/>
    <mergeCell ref="F123:H123"/>
    <mergeCell ref="A124:E124"/>
    <mergeCell ref="F124:H124"/>
  </mergeCells>
  <pageMargins left="0.7" right="0.7" top="0.75" bottom="0.75" header="0.3" footer="0.3"/>
  <pageSetup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DISTANCE</vt:lpstr>
      <vt:lpstr>COV</vt:lpstr>
      <vt:lpstr>ANZ</vt:lpstr>
      <vt:lpstr>KPZ</vt:lpstr>
      <vt:lpstr>CLZ</vt:lpstr>
      <vt:lpstr>HMZ</vt:lpstr>
      <vt:lpstr>SW</vt:lpstr>
      <vt:lpstr>SUM</vt:lpstr>
      <vt:lpstr>DEPARTED</vt:lpstr>
      <vt:lpstr>Sheet1</vt:lpstr>
      <vt:lpstr>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zone -1 hawa mahal</dc:creator>
  <cp:lastModifiedBy>zone -1 hawa mahal</cp:lastModifiedBy>
  <cp:lastPrinted>2026-06-05T12:12:05Z</cp:lastPrinted>
  <dcterms:created xsi:type="dcterms:W3CDTF">2026-04-13T06:19:47Z</dcterms:created>
  <dcterms:modified xsi:type="dcterms:W3CDTF">2026-06-05T12:15:17Z</dcterms:modified>
</cp:coreProperties>
</file>